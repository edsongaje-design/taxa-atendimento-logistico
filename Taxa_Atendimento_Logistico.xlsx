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" sheetId="1" state="visible" r:id="rId1"/>
    <sheet xmlns:r="http://schemas.openxmlformats.org/officeDocument/2006/relationships" name="Gráficos" sheetId="2" state="visible" r:id="rId2"/>
    <sheet xmlns:r="http://schemas.openxmlformats.org/officeDocument/2006/relationships" name="Evidências" sheetId="3" state="visible" r:id="rId3"/>
    <sheet xmlns:r="http://schemas.openxmlformats.org/officeDocument/2006/relationships" name="Aux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[=1]0%;0.0%"/>
    <numFmt numFmtId="166" formatCode="dd/mm/yyyy hh:mm"/>
    <numFmt numFmtId="167" formatCode="[=0]&quot;&quot;;[=1]0%;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0000FF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404040"/>
      <sz val="9"/>
    </font>
    <font>
      <name val="Arial"/>
      <b val="1"/>
      <color rgb="00404040"/>
      <sz val="11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b val="1"/>
      <color rgb="001F4E79"/>
      <sz val="16"/>
    </font>
    <font>
      <name val="Arial"/>
      <b val="1"/>
      <color rgb="001F4E79"/>
      <sz val="10"/>
    </font>
    <font>
      <name val="Arial"/>
      <b val="1"/>
      <color rgb="00262626"/>
      <sz val="10"/>
    </font>
    <font>
      <name val="Arial"/>
      <b val="1"/>
      <color rgb="00404040"/>
      <sz val="9"/>
    </font>
    <font>
      <name val="Arial"/>
      <b val="1"/>
      <color rgb="00404040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2F2F2"/>
        <bgColor rgb="00F2F2F2"/>
      </patternFill>
    </fill>
    <fill>
      <patternFill patternType="solid">
        <fgColor rgb="00E26B0A"/>
        <bgColor rgb="00E26B0A"/>
      </patternFill>
    </fill>
    <fill>
      <patternFill patternType="solid">
        <fgColor rgb="0043A047"/>
        <bgColor rgb="0043A047"/>
      </patternFill>
    </fill>
    <fill>
      <patternFill patternType="solid">
        <fgColor rgb="00FB8C00"/>
        <bgColor rgb="00FB8C00"/>
      </patternFill>
    </fill>
    <fill>
      <patternFill patternType="solid">
        <fgColor rgb="00C62828"/>
        <bgColor rgb="00C62828"/>
      </patternFill>
    </fill>
    <fill>
      <patternFill patternType="solid">
        <fgColor rgb="00404040"/>
        <bgColor rgb="00404040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/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9" fontId="3" fillId="3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2" pivotButton="0" quotePrefix="0" xfId="0"/>
    <xf numFmtId="0" fontId="8" fillId="0" borderId="3" applyAlignment="1" pivotButton="0" quotePrefix="0" xfId="0">
      <alignment horizontal="left" vertical="center" indent="1"/>
    </xf>
    <xf numFmtId="0" fontId="0" fillId="8" borderId="2" pivotButton="0" quotePrefix="0" xfId="0"/>
    <xf numFmtId="0" fontId="0" fillId="9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1" fontId="12" fillId="5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11" borderId="8" applyAlignment="1" pivotButton="0" quotePrefix="0" xfId="0">
      <alignment horizontal="left" vertical="center" indent="1"/>
    </xf>
    <xf numFmtId="0" fontId="0" fillId="0" borderId="9" pivotButton="0" quotePrefix="0" xfId="0"/>
    <xf numFmtId="165" fontId="15" fillId="5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" fillId="12" borderId="0" applyAlignment="1" pivotButton="0" quotePrefix="0" xfId="0">
      <alignment vertical="center"/>
    </xf>
    <xf numFmtId="0" fontId="0" fillId="12" borderId="0" pivotButton="0" quotePrefix="0" xfId="0"/>
    <xf numFmtId="0" fontId="5" fillId="1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17" fillId="0" borderId="0" pivotButton="0" quotePrefix="0" xfId="0"/>
    <xf numFmtId="167" fontId="17" fillId="0" borderId="0" pivotButton="0" quotePrefix="0" xfId="0"/>
  </cellXfs>
  <cellStyles count="1">
    <cellStyle name="Normal" xfId="0" builtinId="0" hidden="0"/>
  </cellStyles>
  <dxfs count="9">
    <dxf>
      <font>
        <name val="Arial"/>
        <b val="1"/>
        <color rgb="00C62828"/>
      </font>
    </dxf>
    <dxf>
      <font>
        <name val="Arial"/>
        <b val="1"/>
        <color rgb="00C55A11"/>
      </font>
    </dxf>
    <dxf>
      <font>
        <name val="Arial"/>
        <b val="1"/>
        <color rgb="002E7D32"/>
      </font>
    </dxf>
    <dxf>
      <fill>
        <patternFill patternType="solid">
          <fgColor rgb="00FFF2CC"/>
          <bgColor rgb="00FFF2CC"/>
        </patternFill>
      </fill>
    </dxf>
    <dxf>
      <font>
        <name val="Arial"/>
        <b val="1"/>
        <color rgb="00C62828"/>
        <sz val="16"/>
      </font>
    </dxf>
    <dxf>
      <font>
        <name val="Arial"/>
        <b val="1"/>
        <color rgb="002E7D32"/>
        <sz val="16"/>
      </font>
    </dxf>
    <dxf>
      <font>
        <name val="Arial"/>
        <b val="1"/>
        <color rgb="00FFFFFF"/>
      </font>
      <fill>
        <patternFill patternType="solid">
          <fgColor rgb="0043A047"/>
          <bgColor rgb="0043A047"/>
        </patternFill>
      </fill>
    </dxf>
    <dxf>
      <font>
        <name val="Arial"/>
        <b val="1"/>
        <color rgb="00262626"/>
      </font>
      <fill>
        <patternFill patternType="solid">
          <fgColor rgb="00FB8C00"/>
          <bgColor rgb="00FB8C00"/>
        </patternFill>
      </fill>
    </dxf>
    <dxf>
      <font>
        <name val="Arial"/>
        <b val="1"/>
        <color rgb="00FFFFFF"/>
      </font>
      <fill>
        <patternFill patternType="solid">
          <fgColor rgb="00C62828"/>
          <bgColor rgb="00C628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roundedCorners val="0"/>
  <chart>
    <title>
      <tx>
        <strRef>
          <f>Aux!$BJ$6</f>
          <strCache>
            <ptCount val="1"/>
            <pt idx="0">
              <v>Renault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'Aux'!$B$6:$M$6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'Aux'!$N$6:$Y$6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'Aux'!$Z$6:$AK$6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'Aux'!$AL$6:$AW$6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'Aux'!$AX$6:$BI$6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strRef>
          <f>Aux!$BJ$7</f>
          <strCache>
            <ptCount val="1"/>
            <pt idx="0">
              <v>Mercedes-Benz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'Aux'!$B$7:$M$7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'Aux'!$N$7:$Y$7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'Aux'!$Z$7:$AK$7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'Aux'!$AL$7:$AW$7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'Aux'!$AX$7:$BI$7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strRef>
          <f>Aux!$BJ$8</f>
          <strCache>
            <ptCount val="1"/>
            <pt idx="0">
              <v>Stellantis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'Aux'!$B$8:$M$8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'Aux'!$N$8:$Y$8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'Aux'!$Z$8:$AK$8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'Aux'!$AL$8:$AW$8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'Aux'!$AX$8:$BI$8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strRef>
          <f>Aux!$BJ$9</f>
          <strCache>
            <ptCount val="1"/>
            <pt idx="0">
              <v>Volvo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'Aux'!$B$9:$M$9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'Aux'!$N$9:$Y$9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'Aux'!$Z$9:$AK$9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'Aux'!$AL$9:$AW$9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'Aux'!$AX$9:$BI$9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strRef>
          <f>Aux!$BJ$10</f>
          <strCache>
            <ptCount val="1"/>
            <pt idx="0">
              <v>Scania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'Aux'!$B$10:$M$10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'Aux'!$N$10:$Y$10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'Aux'!$Z$10:$AK$10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'Aux'!$AL$10:$AW$10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'Aux'!$AX$10:$BI$10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strRef>
          <f>Aux!$BJ$11</f>
          <strCache>
            <ptCount val="1"/>
            <pt idx="0">
              <v>Iveco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'Aux'!$B$11:$M$11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'Aux'!$N$11:$Y$11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'Aux'!$Z$11:$AK$11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'Aux'!$AL$11:$AW$11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'Aux'!$AX$11:$BI$11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strRef>
          <f>Aux!$BJ$12</f>
          <strCache>
            <ptCount val="1"/>
            <pt idx="0">
              <v>HORSE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'Aux'!$B$12:$M$12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'Aux'!$N$12:$Y$12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'Aux'!$Z$12:$AK$12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'Aux'!$AL$12:$AW$12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'Aux'!$AX$12:$BI$12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strRef>
          <f>Aux!$BJ$13</f>
          <strCache>
            <ptCount val="1"/>
            <pt idx="0">
              <v>Nissan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>
              <a:solidFill>
                <a:srgbClr val="262626"/>
              </a:solidFill>
            </a:defRPr>
          </a:pPr>
          <a:r>
            <a:t/>
          </a:r>
          <a:endParaRPr/>
        </a:p>
      </txPr>
    </title>
    <plotArea>
      <barChart>
        <barDir val="col"/>
        <grouping val="clustered"/>
        <ser>
          <idx val="0"/>
          <order val="0"/>
          <tx>
            <v>Verde</v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'Aux'!$B$13:$M$13</f>
            </numRef>
          </val>
        </ser>
        <ser>
          <idx val="1"/>
          <order val="1"/>
          <tx>
            <v>Laranja</v>
          </tx>
          <spPr>
            <a:solidFill xmlns:a="http://schemas.openxmlformats.org/drawingml/2006/main">
              <a:srgbClr val="FB8C00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'Aux'!$N$13:$Y$13</f>
            </numRef>
          </val>
        </ser>
        <ser>
          <idx val="2"/>
          <order val="2"/>
          <tx>
            <v>Vermelho</v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noFill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/>
              </a:p>
            </txPr>
            <dLblPos val="inEnd"/>
            <showLegendKey val="0"/>
            <showVal val="1"/>
            <showCatName val="0"/>
            <showSerName val="0"/>
          </dLbls>
          <cat>
            <numRef>
              <f>'Lançamento'!$B$5:$M$5</f>
            </numRef>
          </cat>
          <val>
            <numRef>
              <f>'Aux'!$Z$13:$AK$13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v>Meta</v>
          </tx>
          <spPr>
            <a:ln xmlns:a="http://schemas.openxmlformats.org/drawingml/2006/main" w="15875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'Aux'!$AL$13:$AW$13</f>
            </numRef>
          </val>
          <smooth val="0"/>
        </ser>
        <ser>
          <idx val="4"/>
          <order val="4"/>
          <tx>
            <v>Tendência (média móvel 3 meses)</v>
          </tx>
          <spPr>
            <a:ln xmlns:a="http://schemas.openxmlformats.org/drawingml/2006/main" w="254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'Lançamento'!$B$5:$M$5</f>
            </numRef>
          </cat>
          <val>
            <numRef>
              <f>'Aux'!$AX$13:$BI$13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95959"/>
                </a:solidFill>
              </a:defRPr>
            </a:pPr>
            <a:r>
              <a:t/>
            </a:r>
            <a:endParaRPr/>
          </a:p>
        </txPr>
        <crossAx val="10"/>
        <majorUnit val="0.1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60192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6019200" cy="316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27</row>
      <rowOff>0</rowOff>
    </from>
    <ext cx="6019200" cy="316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45</row>
      <rowOff>0</rowOff>
    </from>
    <ext cx="6019200" cy="316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45</row>
      <rowOff>0</rowOff>
    </from>
    <ext cx="6019200" cy="316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45</row>
      <rowOff>0</rowOff>
    </from>
    <ext cx="6019200" cy="316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6019200" cy="316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63</row>
      <rowOff>0</rowOff>
    </from>
    <ext cx="6019200" cy="316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9" customWidth="1" min="14" max="14"/>
    <col width="11" customWidth="1" min="15" max="15"/>
    <col width="13" customWidth="1" min="16" max="16"/>
  </cols>
  <sheetData>
    <row r="1" ht="30" customHeight="1">
      <c r="A1" s="1" t="inlineStr">
        <is>
          <t>PLANILHA DE LANÇAMENTO OFICIAL - TAXA DE ATENDIMENTO LOGÍSTICO (SLA / OTIF)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0" customHeight="1"/>
    <row r="3" ht="20" customHeight="1">
      <c r="A3" s="3" t="inlineStr">
        <is>
          <t>Ano de referência:</t>
        </is>
      </c>
      <c r="B3" s="4" t="n">
        <v>2026</v>
      </c>
      <c r="G3" s="5" t="inlineStr">
        <is>
          <t>Verde a partir de:</t>
        </is>
      </c>
      <c r="H3" s="6" t="n">
        <v>0.95</v>
      </c>
      <c r="J3" s="5" t="inlineStr">
        <is>
          <t>Laranja a partir de:</t>
        </is>
      </c>
      <c r="K3" s="7" t="n">
        <v>0.9</v>
      </c>
      <c r="M3" s="5" t="inlineStr">
        <is>
          <t>Eixo a partir de:</t>
        </is>
      </c>
      <c r="N3" s="8" t="n">
        <v>0</v>
      </c>
    </row>
    <row r="4">
      <c r="A4" s="9" t="inlineStr">
        <is>
          <t>Preencha só as células brancas (JAN a DEZ e META): digite 98,4 para 98,4%.   Cor do número = farol pelos limites acima   |   Fundo amarelo = taxa sem evidência   |   Cinza = calculado</t>
        </is>
      </c>
    </row>
    <row r="5" ht="22" customHeight="1">
      <c r="A5" s="10" t="inlineStr">
        <is>
          <t>MONTADORA</t>
        </is>
      </c>
      <c r="B5" s="10" t="inlineStr">
        <is>
          <t>JAN</t>
        </is>
      </c>
      <c r="C5" s="10" t="inlineStr">
        <is>
          <t>FEV</t>
        </is>
      </c>
      <c r="D5" s="10" t="inlineStr">
        <is>
          <t>MAR</t>
        </is>
      </c>
      <c r="E5" s="10" t="inlineStr">
        <is>
          <t>ABR</t>
        </is>
      </c>
      <c r="F5" s="10" t="inlineStr">
        <is>
          <t>MAI</t>
        </is>
      </c>
      <c r="G5" s="10" t="inlineStr">
        <is>
          <t>JUN</t>
        </is>
      </c>
      <c r="H5" s="10" t="inlineStr">
        <is>
          <t>JUL</t>
        </is>
      </c>
      <c r="I5" s="10" t="inlineStr">
        <is>
          <t>AGO</t>
        </is>
      </c>
      <c r="J5" s="10" t="inlineStr">
        <is>
          <t>SET</t>
        </is>
      </c>
      <c r="K5" s="10" t="inlineStr">
        <is>
          <t>OUT</t>
        </is>
      </c>
      <c r="L5" s="10" t="inlineStr">
        <is>
          <t>NOV</t>
        </is>
      </c>
      <c r="M5" s="10" t="inlineStr">
        <is>
          <t>DEZ</t>
        </is>
      </c>
      <c r="N5" s="10" t="inlineStr">
        <is>
          <t>META</t>
        </is>
      </c>
      <c r="O5" s="10" t="inlineStr">
        <is>
          <t>MÉDIA YTD</t>
        </is>
      </c>
      <c r="P5" s="10" t="inlineStr">
        <is>
          <t>EVIDÊNCIAS</t>
        </is>
      </c>
    </row>
    <row r="6">
      <c r="A6" s="11" t="inlineStr">
        <is>
          <t>Renault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>
        <v>1</v>
      </c>
      <c r="O6" s="14">
        <f>IF(COUNT(B6:M6)=0,"",AVERAGE(B6:M6))</f>
        <v/>
      </c>
      <c r="P6" s="15">
        <f>IF($A6="","",COUNTIFS('Evidências'!$A$6:$A$405,$A6,'Evidências'!$B$6:$B$405,"&gt;0")&amp;"/"&amp;COUNT(B6:M6))</f>
        <v/>
      </c>
    </row>
    <row r="7">
      <c r="A7" s="11" t="inlineStr">
        <is>
          <t>Mercedes-Benz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>
        <v>1</v>
      </c>
      <c r="O7" s="14">
        <f>IF(COUNT(B7:M7)=0,"",AVERAGE(B7:M7))</f>
        <v/>
      </c>
      <c r="P7" s="15">
        <f>IF($A7="","",COUNTIFS('Evidências'!$A$6:$A$405,$A7,'Evidências'!$B$6:$B$405,"&gt;0")&amp;"/"&amp;COUNT(B7:M7))</f>
        <v/>
      </c>
    </row>
    <row r="8">
      <c r="A8" s="11" t="inlineStr">
        <is>
          <t>Stellantis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>
        <v>1</v>
      </c>
      <c r="O8" s="14">
        <f>IF(COUNT(B8:M8)=0,"",AVERAGE(B8:M8))</f>
        <v/>
      </c>
      <c r="P8" s="15">
        <f>IF($A8="","",COUNTIFS('Evidências'!$A$6:$A$405,$A8,'Evidências'!$B$6:$B$405,"&gt;0")&amp;"/"&amp;COUNT(B8:M8))</f>
        <v/>
      </c>
    </row>
    <row r="9">
      <c r="A9" s="11" t="inlineStr">
        <is>
          <t>Volvo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n">
        <v>1</v>
      </c>
      <c r="O9" s="14">
        <f>IF(COUNT(B9:M9)=0,"",AVERAGE(B9:M9))</f>
        <v/>
      </c>
      <c r="P9" s="15">
        <f>IF($A9="","",COUNTIFS('Evidências'!$A$6:$A$405,$A9,'Evidências'!$B$6:$B$405,"&gt;0")&amp;"/"&amp;COUNT(B9:M9))</f>
        <v/>
      </c>
    </row>
    <row r="10">
      <c r="A10" s="11" t="inlineStr">
        <is>
          <t>Scania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 t="n">
        <v>1</v>
      </c>
      <c r="O10" s="14">
        <f>IF(COUNT(B10:M10)=0,"",AVERAGE(B10:M10))</f>
        <v/>
      </c>
      <c r="P10" s="15">
        <f>IF($A10="","",COUNTIFS('Evidências'!$A$6:$A$405,$A10,'Evidências'!$B$6:$B$405,"&gt;0")&amp;"/"&amp;COUNT(B10:M10))</f>
        <v/>
      </c>
    </row>
    <row r="11">
      <c r="A11" s="11" t="inlineStr">
        <is>
          <t>Iveco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>
        <v>1</v>
      </c>
      <c r="O11" s="14">
        <f>IF(COUNT(B11:M11)=0,"",AVERAGE(B11:M11))</f>
        <v/>
      </c>
      <c r="P11" s="15">
        <f>IF($A11="","",COUNTIFS('Evidências'!$A$6:$A$405,$A11,'Evidências'!$B$6:$B$405,"&gt;0")&amp;"/"&amp;COUNT(B11:M11))</f>
        <v/>
      </c>
    </row>
    <row r="12">
      <c r="A12" s="11" t="inlineStr">
        <is>
          <t>HORSE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>
        <v>1</v>
      </c>
      <c r="O12" s="14">
        <f>IF(COUNT(B12:M12)=0,"",AVERAGE(B12:M12))</f>
        <v/>
      </c>
      <c r="P12" s="15">
        <f>IF($A12="","",COUNTIFS('Evidências'!$A$6:$A$405,$A12,'Evidências'!$B$6:$B$405,"&gt;0")&amp;"/"&amp;COUNT(B12:M12))</f>
        <v/>
      </c>
    </row>
    <row r="13">
      <c r="A13" s="11" t="inlineStr">
        <is>
          <t>Nissan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3" t="n">
        <v>1</v>
      </c>
      <c r="O13" s="14">
        <f>IF(COUNT(B13:M13)=0,"",AVERAGE(B13:M13))</f>
        <v/>
      </c>
      <c r="P13" s="15">
        <f>IF($A13="","",COUNTIFS('Evidências'!$A$6:$A$405,$A13,'Evidências'!$B$6:$B$405,"&gt;0")&amp;"/"&amp;COUNT(B13:M13))</f>
        <v/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n"/>
      <c r="O14" s="14">
        <f>IF(COUNT(B14:M14)=0,"",AVERAGE(B14:M14))</f>
        <v/>
      </c>
      <c r="P14" s="15">
        <f>IF($A14="","",COUNTIFS('Evidências'!$A$6:$A$405,$A14,'Evidências'!$B$6:$B$405,"&gt;0")&amp;"/"&amp;COUNT(B14:M14))</f>
        <v/>
      </c>
    </row>
    <row r="15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3" t="n"/>
      <c r="O15" s="14">
        <f>IF(COUNT(B15:M15)=0,"",AVERAGE(B15:M15))</f>
        <v/>
      </c>
      <c r="P15" s="15">
        <f>IF($A15="","",COUNTIFS('Evidências'!$A$6:$A$405,$A15,'Evidências'!$B$6:$B$405,"&gt;0")&amp;"/"&amp;COUNT(B15:M15))</f>
        <v/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  <c r="O16" s="14">
        <f>IF(COUNT(B16:M16)=0,"",AVERAGE(B16:M16))</f>
        <v/>
      </c>
      <c r="P16" s="15">
        <f>IF($A16="","",COUNTIFS('Evidências'!$A$6:$A$405,$A16,'Evidências'!$B$6:$B$405,"&gt;0")&amp;"/"&amp;COUNT(B16:M16))</f>
        <v/>
      </c>
    </row>
    <row r="17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 t="n"/>
      <c r="O17" s="14">
        <f>IF(COUNT(B17:M17)=0,"",AVERAGE(B17:M17))</f>
        <v/>
      </c>
      <c r="P17" s="15">
        <f>IF($A17="","",COUNTIFS('Evidências'!$A$6:$A$405,$A17,'Evidências'!$B$6:$B$405,"&gt;0")&amp;"/"&amp;COUNT(B17:M17))</f>
        <v/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  <c r="O18" s="14">
        <f>IF(COUNT(B18:M18)=0,"",AVERAGE(B18:M18))</f>
        <v/>
      </c>
      <c r="P18" s="15">
        <f>IF($A18="","",COUNTIFS('Evidências'!$A$6:$A$405,$A18,'Evidências'!$B$6:$B$405,"&gt;0")&amp;"/"&amp;COUNT(B18:M18))</f>
        <v/>
      </c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  <c r="O19" s="14">
        <f>IF(COUNT(B19:M19)=0,"",AVERAGE(B19:M19))</f>
        <v/>
      </c>
      <c r="P19" s="15">
        <f>IF($A19="","",COUNTIFS('Evidências'!$A$6:$A$405,$A19,'Evidências'!$B$6:$B$405,"&gt;0")&amp;"/"&amp;COUNT(B19:M19))</f>
        <v/>
      </c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  <c r="O20" s="14">
        <f>IF(COUNT(B20:M20)=0,"",AVERAGE(B20:M20))</f>
        <v/>
      </c>
      <c r="P20" s="15">
        <f>IF($A20="","",COUNTIFS('Evidências'!$A$6:$A$405,$A20,'Evidências'!$B$6:$B$405,"&gt;0")&amp;"/"&amp;COUNT(B20:M20))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  <c r="O21" s="14">
        <f>IF(COUNT(B21:M21)=0,"",AVERAGE(B21:M21))</f>
        <v/>
      </c>
      <c r="P21" s="15">
        <f>IF($A21="","",COUNTIFS('Evidências'!$A$6:$A$405,$A21,'Evidências'!$B$6:$B$405,"&gt;0")&amp;"/"&amp;COUNT(B21:M21))</f>
        <v/>
      </c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  <c r="O22" s="14">
        <f>IF(COUNT(B22:M22)=0,"",AVERAGE(B22:M22))</f>
        <v/>
      </c>
      <c r="P22" s="15">
        <f>IF($A22="","",COUNTIFS('Evidências'!$A$6:$A$405,$A22,'Evidências'!$B$6:$B$405,"&gt;0")&amp;"/"&amp;COUNT(B22:M22))</f>
        <v/>
      </c>
    </row>
    <row r="23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 t="n"/>
      <c r="O23" s="14">
        <f>IF(COUNT(B23:M23)=0,"",AVERAGE(B23:M23))</f>
        <v/>
      </c>
      <c r="P23" s="15">
        <f>IF($A23="","",COUNTIFS('Evidências'!$A$6:$A$405,$A23,'Evidências'!$B$6:$B$405,"&gt;0")&amp;"/"&amp;COUNT(B23:M23))</f>
        <v/>
      </c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3" t="n"/>
      <c r="O24" s="14">
        <f>IF(COUNT(B24:M24)=0,"",AVERAGE(B24:M24))</f>
        <v/>
      </c>
      <c r="P24" s="15">
        <f>IF($A24="","",COUNTIFS('Evidências'!$A$6:$A$405,$A24,'Evidências'!$B$6:$B$405,"&gt;0")&amp;"/"&amp;COUNT(B24:M24))</f>
        <v/>
      </c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  <c r="O25" s="14">
        <f>IF(COUNT(B25:M25)=0,"",AVERAGE(B25:M25))</f>
        <v/>
      </c>
      <c r="P25" s="15">
        <f>IF($A25="","",COUNTIFS('Evidências'!$A$6:$A$405,$A25,'Evidências'!$B$6:$B$405,"&gt;0")&amp;"/"&amp;COUNT(B25:M25))</f>
        <v/>
      </c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n"/>
      <c r="O26" s="14">
        <f>IF(COUNT(B26:M26)=0,"",AVERAGE(B26:M26))</f>
        <v/>
      </c>
      <c r="P26" s="15">
        <f>IF($A26="","",COUNTIFS('Evidências'!$A$6:$A$405,$A26,'Evidências'!$B$6:$B$405,"&gt;0")&amp;"/"&amp;COUNT(B26:M26))</f>
        <v/>
      </c>
    </row>
    <row r="27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n"/>
      <c r="O27" s="14">
        <f>IF(COUNT(B27:M27)=0,"",AVERAGE(B27:M27))</f>
        <v/>
      </c>
      <c r="P27" s="15">
        <f>IF($A27="","",COUNTIFS('Evidências'!$A$6:$A$405,$A27,'Evidências'!$B$6:$B$405,"&gt;0")&amp;"/"&amp;COUNT(B27:M27))</f>
        <v/>
      </c>
    </row>
    <row r="28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3" t="n"/>
      <c r="O28" s="14">
        <f>IF(COUNT(B28:M28)=0,"",AVERAGE(B28:M28))</f>
        <v/>
      </c>
      <c r="P28" s="15">
        <f>IF($A28="","",COUNTIFS('Evidências'!$A$6:$A$405,$A28,'Evidências'!$B$6:$B$405,"&gt;0")&amp;"/"&amp;COUNT(B28:M28))</f>
        <v/>
      </c>
    </row>
    <row r="29">
      <c r="A29" s="11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3" t="n"/>
      <c r="O29" s="14">
        <f>IF(COUNT(B29:M29)=0,"",AVERAGE(B29:M29))</f>
        <v/>
      </c>
      <c r="P29" s="15">
        <f>IF($A29="","",COUNTIFS('Evidências'!$A$6:$A$405,$A29,'Evidências'!$B$6:$B$405,"&gt;0")&amp;"/"&amp;COUNT(B29:M29))</f>
        <v/>
      </c>
    </row>
    <row r="30">
      <c r="A30" s="11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3" t="n"/>
      <c r="O30" s="14">
        <f>IF(COUNT(B30:M30)=0,"",AVERAGE(B30:M30))</f>
        <v/>
      </c>
      <c r="P30" s="15">
        <f>IF($A30="","",COUNTIFS('Evidências'!$A$6:$A$405,$A30,'Evidências'!$B$6:$B$405,"&gt;0")&amp;"/"&amp;COUNT(B30:M30))</f>
        <v/>
      </c>
    </row>
    <row r="31">
      <c r="A31" s="11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3" t="n"/>
      <c r="O31" s="14">
        <f>IF(COUNT(B31:M31)=0,"",AVERAGE(B31:M31))</f>
        <v/>
      </c>
      <c r="P31" s="15">
        <f>IF($A31="","",COUNTIFS('Evidências'!$A$6:$A$405,$A31,'Evidências'!$B$6:$B$405,"&gt;0")&amp;"/"&amp;COUNT(B31:M31))</f>
        <v/>
      </c>
    </row>
    <row r="32">
      <c r="A32" s="11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3" t="n"/>
      <c r="O32" s="14">
        <f>IF(COUNT(B32:M32)=0,"",AVERAGE(B32:M32))</f>
        <v/>
      </c>
      <c r="P32" s="15">
        <f>IF($A32="","",COUNTIFS('Evidências'!$A$6:$A$405,$A32,'Evidências'!$B$6:$B$405,"&gt;0")&amp;"/"&amp;COUNT(B32:M32))</f>
        <v/>
      </c>
    </row>
    <row r="33">
      <c r="A33" s="11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3" t="n"/>
      <c r="O33" s="14">
        <f>IF(COUNT(B33:M33)=0,"",AVERAGE(B33:M33))</f>
        <v/>
      </c>
      <c r="P33" s="15">
        <f>IF($A33="","",COUNTIFS('Evidências'!$A$6:$A$405,$A33,'Evidências'!$B$6:$B$405,"&gt;0")&amp;"/"&amp;COUNT(B33:M33))</f>
        <v/>
      </c>
    </row>
    <row r="34">
      <c r="A34" s="11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n"/>
      <c r="O34" s="14">
        <f>IF(COUNT(B34:M34)=0,"",AVERAGE(B34:M34))</f>
        <v/>
      </c>
      <c r="P34" s="15">
        <f>IF($A34="","",COUNTIFS('Evidências'!$A$6:$A$405,$A34,'Evidências'!$B$6:$B$405,"&gt;0")&amp;"/"&amp;COUNT(B34:M34))</f>
        <v/>
      </c>
    </row>
    <row r="35">
      <c r="A35" s="11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n"/>
      <c r="O35" s="14">
        <f>IF(COUNT(B35:M35)=0,"",AVERAGE(B35:M35))</f>
        <v/>
      </c>
      <c r="P35" s="15">
        <f>IF($A35="","",COUNTIFS('Evidências'!$A$6:$A$405,$A35,'Evidências'!$B$6:$B$405,"&gt;0")&amp;"/"&amp;COUNT(B35:M35))</f>
        <v/>
      </c>
    </row>
  </sheetData>
  <conditionalFormatting sqref="B6:M35">
    <cfRule type="expression" priority="1" dxfId="0">
      <formula>AND(ISNUMBER(B6),ROUND(B6,6)&lt;ROUND($K$3,6))</formula>
    </cfRule>
    <cfRule type="expression" priority="2" dxfId="1">
      <formula>AND(ISNUMBER(B6),ROUND(B6,6)&lt;ROUND($H$3,6),ROUND(B6,6)&gt;=ROUND($K$3,6))</formula>
    </cfRule>
    <cfRule type="expression" priority="3" dxfId="2">
      <formula>AND(ISNUMBER(B6),ROUND(B6,6)&gt;=ROUND($H$3,6))</formula>
    </cfRule>
    <cfRule type="expression" priority="4" dxfId="3">
      <formula>AND(ISNUMBER(B6),COUNTIFS('Evidências'!$A$6:$A$405,$A6,'Evidências'!$B$6:$B$405,COLUMN(B6)-1)=0)</formula>
    </cfRule>
  </conditionalFormatting>
  <dataValidations count="3">
    <dataValidation sqref="B6:N35 H3 K3" showDropDown="0" showInputMessage="0" showErrorMessage="1" allowBlank="1" errorTitle="Taxa inválida" error="Digite a taxa entre 0% e 100% (ex.: 98,4)." type="decimal" operator="between">
      <formula1>0</formula1>
      <formula2>1</formula2>
    </dataValidation>
    <dataValidation sqref="N3" showDropDown="0" showInputMessage="0" showErrorMessage="1" allowBlank="0" errorTitle="Eixo inválido" error="Informe um valor entre 0% e 90%." type="decimal" operator="between">
      <formula1>0</formula1>
      <formula2>0.9</formula2>
    </dataValidation>
    <dataValidation sqref="B3" showDropDown="0" showInputMessage="0" showErrorMessage="1" allowBlank="0" errorTitle="Ano inválido" error="Informe um ano entre 2020 e 2100." type="whole" operator="between">
      <formula1>2020</formula1>
      <formula2>2100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26B0A"/>
    <outlinePr summaryBelow="1" summaryRight="1"/>
    <pageSetUpPr fitToPage="1"/>
  </sheetPr>
  <dimension ref="A1:AD27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6">
        <f>"INDICADORES DE PERFORMANCE LOGÍSTICA (SLA / OTIF) - ANUAL "&amp;'Lançamento'!B3</f>
        <v/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 ht="28" customHeight="1"/>
    <row r="3" ht="20" customHeight="1">
      <c r="A3" s="18" t="n"/>
      <c r="B3" s="19">
        <f>"Verde: ≥ "&amp;ROUND('Lançamento'!H3*100,1)&amp;"%"</f>
        <v/>
      </c>
      <c r="G3" s="20" t="n"/>
      <c r="H3" s="19">
        <f>"Laranja: ≥ "&amp;ROUND('Lançamento'!K3*100,1)&amp;"% e &lt; "&amp;ROUND('Lançamento'!H3*100,1)&amp;"%"</f>
        <v/>
      </c>
      <c r="N3" s="21" t="n"/>
      <c r="O3" s="19">
        <f>"Vermelho: &lt; "&amp;ROUND('Lançamento'!K3*100,1)&amp;"%"</f>
        <v/>
      </c>
      <c r="T3" s="22" t="inlineStr">
        <is>
          <t>- - -</t>
        </is>
      </c>
      <c r="U3" s="19" t="inlineStr">
        <is>
          <t>Meta (linha tracejada)</t>
        </is>
      </c>
      <c r="Z3" s="23" t="inlineStr">
        <is>
          <t>——</t>
        </is>
      </c>
      <c r="AA3" s="19" t="inlineStr">
        <is>
          <t>Tendência: média móvel de 3 meses</t>
        </is>
      </c>
    </row>
    <row r="4" ht="6" customHeight="1"/>
    <row r="5" ht="20" customHeight="1">
      <c r="A5" s="24" t="inlineStr">
        <is>
          <t>MÉDIA GERAL YTD</t>
        </is>
      </c>
      <c r="B5" s="25" t="n"/>
      <c r="C5" s="25" t="n"/>
      <c r="D5" s="25" t="n"/>
      <c r="E5" s="25" t="n"/>
      <c r="F5" s="26" t="n"/>
      <c r="G5" s="24">
        <f>IF(Aux!B2=0,"NO VERDE NO ÚLTIMO MÊS","NO VERDE (≥"&amp;ROUND('Lançamento'!$H$3*100,1)&amp;"%) EM "&amp;CHOOSE(Aux!B2,"JAN","FEV","MAR","ABR","MAI","JUN","JUL","AGO","SET","OUT","NOV","DEZ"))</f>
        <v/>
      </c>
      <c r="H5" s="25" t="n"/>
      <c r="I5" s="25" t="n"/>
      <c r="J5" s="25" t="n"/>
      <c r="K5" s="25" t="n"/>
      <c r="L5" s="26" t="n"/>
      <c r="M5" s="24" t="inlineStr">
        <is>
          <t>MAIOR MÉDIA YTD</t>
        </is>
      </c>
      <c r="N5" s="25" t="n"/>
      <c r="O5" s="25" t="n"/>
      <c r="P5" s="25" t="n"/>
      <c r="Q5" s="25" t="n"/>
      <c r="R5" s="26" t="n"/>
      <c r="S5" s="24" t="inlineStr">
        <is>
          <t>MENOR MÉDIA YTD</t>
        </is>
      </c>
      <c r="T5" s="25" t="n"/>
      <c r="U5" s="25" t="n"/>
      <c r="V5" s="25" t="n"/>
      <c r="W5" s="25" t="n"/>
      <c r="X5" s="26" t="n"/>
      <c r="Y5" s="24" t="inlineStr">
        <is>
          <t>TAXAS SEM EVIDÊNCIA</t>
        </is>
      </c>
      <c r="Z5" s="25" t="n"/>
      <c r="AA5" s="25" t="n"/>
      <c r="AB5" s="25" t="n"/>
      <c r="AC5" s="25" t="n"/>
      <c r="AD5" s="26" t="n"/>
    </row>
    <row r="6" ht="36" customHeight="1">
      <c r="A6" s="27">
        <f>IFERROR(AVERAGE('Lançamento'!O6:O35),"-")</f>
        <v/>
      </c>
      <c r="B6" s="25" t="n"/>
      <c r="C6" s="25" t="n"/>
      <c r="D6" s="25" t="n"/>
      <c r="E6" s="25" t="n"/>
      <c r="F6" s="26" t="n"/>
      <c r="G6" s="28">
        <f>IF(Aux!B2=0,"-",Aux!B3&amp;" de "&amp;Aux!B4)</f>
        <v/>
      </c>
      <c r="H6" s="25" t="n"/>
      <c r="I6" s="25" t="n"/>
      <c r="J6" s="25" t="n"/>
      <c r="K6" s="25" t="n"/>
      <c r="L6" s="26" t="n"/>
      <c r="M6" s="28">
        <f>IFERROR(INDEX('Lançamento'!A6:A35,MATCH(MAX('Lançamento'!O6:O35),'Lançamento'!O6:O35,0))&amp;"  "&amp;ROUND(MAX('Lançamento'!O6:O35)*100,1)&amp;"%","-")</f>
        <v/>
      </c>
      <c r="N6" s="25" t="n"/>
      <c r="O6" s="25" t="n"/>
      <c r="P6" s="25" t="n"/>
      <c r="Q6" s="25" t="n"/>
      <c r="R6" s="26" t="n"/>
      <c r="S6" s="28">
        <f>IFERROR(INDEX('Lançamento'!A6:A35,MATCH(MIN('Lançamento'!O6:O35),'Lançamento'!O6:O35,0))&amp;"  "&amp;ROUND(MIN('Lançamento'!O6:O35)*100,1)&amp;"%","-")</f>
        <v/>
      </c>
      <c r="T6" s="25" t="n"/>
      <c r="U6" s="25" t="n"/>
      <c r="V6" s="25" t="n"/>
      <c r="W6" s="25" t="n"/>
      <c r="X6" s="26" t="n"/>
      <c r="Y6" s="29">
        <f>MAX(0,COUNT('Lançamento'!B6:M35)-SUMPRODUCT(--('Evidências'!A6:A405&lt;&gt;"")))</f>
        <v/>
      </c>
      <c r="Z6" s="25" t="n"/>
      <c r="AA6" s="25" t="n"/>
      <c r="AB6" s="25" t="n"/>
      <c r="AC6" s="25" t="n"/>
      <c r="AD6" s="26" t="n"/>
    </row>
    <row r="7" ht="10" customHeight="1"/>
    <row r="8" ht="18" customHeight="1">
      <c r="A8" s="30" t="inlineStr">
        <is>
          <t>MAPA DE CALOR - TAXA DE ATENDIMENTO MENSAL POR MONTADORA</t>
        </is>
      </c>
    </row>
    <row r="9" ht="20" customHeight="1">
      <c r="A9" s="24" t="inlineStr">
        <is>
          <t>MONTADORA</t>
        </is>
      </c>
      <c r="B9" s="25" t="n"/>
      <c r="C9" s="25" t="n"/>
      <c r="D9" s="26" t="n"/>
      <c r="E9" s="24" t="inlineStr">
        <is>
          <t>JAN</t>
        </is>
      </c>
      <c r="F9" s="26" t="n"/>
      <c r="G9" s="24" t="inlineStr">
        <is>
          <t>FEV</t>
        </is>
      </c>
      <c r="H9" s="26" t="n"/>
      <c r="I9" s="24" t="inlineStr">
        <is>
          <t>MAR</t>
        </is>
      </c>
      <c r="J9" s="26" t="n"/>
      <c r="K9" s="24" t="inlineStr">
        <is>
          <t>ABR</t>
        </is>
      </c>
      <c r="L9" s="26" t="n"/>
      <c r="M9" s="24" t="inlineStr">
        <is>
          <t>MAI</t>
        </is>
      </c>
      <c r="N9" s="26" t="n"/>
      <c r="O9" s="24" t="inlineStr">
        <is>
          <t>JUN</t>
        </is>
      </c>
      <c r="P9" s="26" t="n"/>
      <c r="Q9" s="24" t="inlineStr">
        <is>
          <t>JUL</t>
        </is>
      </c>
      <c r="R9" s="26" t="n"/>
      <c r="S9" s="24" t="inlineStr">
        <is>
          <t>AGO</t>
        </is>
      </c>
      <c r="T9" s="26" t="n"/>
      <c r="U9" s="24" t="inlineStr">
        <is>
          <t>SET</t>
        </is>
      </c>
      <c r="V9" s="26" t="n"/>
      <c r="W9" s="24" t="inlineStr">
        <is>
          <t>OUT</t>
        </is>
      </c>
      <c r="X9" s="26" t="n"/>
      <c r="Y9" s="24" t="inlineStr">
        <is>
          <t>NOV</t>
        </is>
      </c>
      <c r="Z9" s="26" t="n"/>
      <c r="AA9" s="24" t="inlineStr">
        <is>
          <t>DEZ</t>
        </is>
      </c>
      <c r="AB9" s="26" t="n"/>
      <c r="AC9" s="24" t="inlineStr">
        <is>
          <t>MÉDIA YTD</t>
        </is>
      </c>
      <c r="AD9" s="26" t="n"/>
    </row>
    <row r="10" ht="20" customHeight="1">
      <c r="A10" s="31">
        <f>IF('Lançamento'!A6="","",'Lançamento'!A6)</f>
        <v/>
      </c>
      <c r="B10" s="32" t="n"/>
      <c r="C10" s="32" t="n"/>
      <c r="D10" s="32" t="n"/>
      <c r="E10" s="33">
        <f>IF(ISNUMBER('Lançamento'!B6),'Lançamento'!B6,"")</f>
        <v/>
      </c>
      <c r="F10" s="26" t="n"/>
      <c r="G10" s="33">
        <f>IF(ISNUMBER('Lançamento'!C6),'Lançamento'!C6,"")</f>
        <v/>
      </c>
      <c r="H10" s="26" t="n"/>
      <c r="I10" s="33">
        <f>IF(ISNUMBER('Lançamento'!D6),'Lançamento'!D6,"")</f>
        <v/>
      </c>
      <c r="J10" s="26" t="n"/>
      <c r="K10" s="33">
        <f>IF(ISNUMBER('Lançamento'!E6),'Lançamento'!E6,"")</f>
        <v/>
      </c>
      <c r="L10" s="26" t="n"/>
      <c r="M10" s="33">
        <f>IF(ISNUMBER('Lançamento'!F6),'Lançamento'!F6,"")</f>
        <v/>
      </c>
      <c r="N10" s="26" t="n"/>
      <c r="O10" s="33">
        <f>IF(ISNUMBER('Lançamento'!G6),'Lançamento'!G6,"")</f>
        <v/>
      </c>
      <c r="P10" s="26" t="n"/>
      <c r="Q10" s="33">
        <f>IF(ISNUMBER('Lançamento'!H6),'Lançamento'!H6,"")</f>
        <v/>
      </c>
      <c r="R10" s="26" t="n"/>
      <c r="S10" s="33">
        <f>IF(ISNUMBER('Lançamento'!I6),'Lançamento'!I6,"")</f>
        <v/>
      </c>
      <c r="T10" s="26" t="n"/>
      <c r="U10" s="33">
        <f>IF(ISNUMBER('Lançamento'!J6),'Lançamento'!J6,"")</f>
        <v/>
      </c>
      <c r="V10" s="26" t="n"/>
      <c r="W10" s="33">
        <f>IF(ISNUMBER('Lançamento'!K6),'Lançamento'!K6,"")</f>
        <v/>
      </c>
      <c r="X10" s="26" t="n"/>
      <c r="Y10" s="33">
        <f>IF(ISNUMBER('Lançamento'!L6),'Lançamento'!L6,"")</f>
        <v/>
      </c>
      <c r="Z10" s="26" t="n"/>
      <c r="AA10" s="33">
        <f>IF(ISNUMBER('Lançamento'!M6),'Lançamento'!M6,"")</f>
        <v/>
      </c>
      <c r="AB10" s="26" t="n"/>
      <c r="AC10" s="34">
        <f>IF(ISNUMBER('Lançamento'!O6),'Lançamento'!O6,"")</f>
        <v/>
      </c>
      <c r="AD10" s="26" t="n"/>
    </row>
    <row r="11" ht="20" customHeight="1">
      <c r="A11" s="31">
        <f>IF('Lançamento'!A7="","",'Lançamento'!A7)</f>
        <v/>
      </c>
      <c r="B11" s="32" t="n"/>
      <c r="C11" s="32" t="n"/>
      <c r="D11" s="32" t="n"/>
      <c r="E11" s="33">
        <f>IF(ISNUMBER('Lançamento'!B7),'Lançamento'!B7,"")</f>
        <v/>
      </c>
      <c r="F11" s="26" t="n"/>
      <c r="G11" s="33">
        <f>IF(ISNUMBER('Lançamento'!C7),'Lançamento'!C7,"")</f>
        <v/>
      </c>
      <c r="H11" s="26" t="n"/>
      <c r="I11" s="33">
        <f>IF(ISNUMBER('Lançamento'!D7),'Lançamento'!D7,"")</f>
        <v/>
      </c>
      <c r="J11" s="26" t="n"/>
      <c r="K11" s="33">
        <f>IF(ISNUMBER('Lançamento'!E7),'Lançamento'!E7,"")</f>
        <v/>
      </c>
      <c r="L11" s="26" t="n"/>
      <c r="M11" s="33">
        <f>IF(ISNUMBER('Lançamento'!F7),'Lançamento'!F7,"")</f>
        <v/>
      </c>
      <c r="N11" s="26" t="n"/>
      <c r="O11" s="33">
        <f>IF(ISNUMBER('Lançamento'!G7),'Lançamento'!G7,"")</f>
        <v/>
      </c>
      <c r="P11" s="26" t="n"/>
      <c r="Q11" s="33">
        <f>IF(ISNUMBER('Lançamento'!H7),'Lançamento'!H7,"")</f>
        <v/>
      </c>
      <c r="R11" s="26" t="n"/>
      <c r="S11" s="33">
        <f>IF(ISNUMBER('Lançamento'!I7),'Lançamento'!I7,"")</f>
        <v/>
      </c>
      <c r="T11" s="26" t="n"/>
      <c r="U11" s="33">
        <f>IF(ISNUMBER('Lançamento'!J7),'Lançamento'!J7,"")</f>
        <v/>
      </c>
      <c r="V11" s="26" t="n"/>
      <c r="W11" s="33">
        <f>IF(ISNUMBER('Lançamento'!K7),'Lançamento'!K7,"")</f>
        <v/>
      </c>
      <c r="X11" s="26" t="n"/>
      <c r="Y11" s="33">
        <f>IF(ISNUMBER('Lançamento'!L7),'Lançamento'!L7,"")</f>
        <v/>
      </c>
      <c r="Z11" s="26" t="n"/>
      <c r="AA11" s="33">
        <f>IF(ISNUMBER('Lançamento'!M7),'Lançamento'!M7,"")</f>
        <v/>
      </c>
      <c r="AB11" s="26" t="n"/>
      <c r="AC11" s="34">
        <f>IF(ISNUMBER('Lançamento'!O7),'Lançamento'!O7,"")</f>
        <v/>
      </c>
      <c r="AD11" s="26" t="n"/>
    </row>
    <row r="12" ht="20" customHeight="1">
      <c r="A12" s="31">
        <f>IF('Lançamento'!A8="","",'Lançamento'!A8)</f>
        <v/>
      </c>
      <c r="B12" s="32" t="n"/>
      <c r="C12" s="32" t="n"/>
      <c r="D12" s="32" t="n"/>
      <c r="E12" s="33">
        <f>IF(ISNUMBER('Lançamento'!B8),'Lançamento'!B8,"")</f>
        <v/>
      </c>
      <c r="F12" s="26" t="n"/>
      <c r="G12" s="33">
        <f>IF(ISNUMBER('Lançamento'!C8),'Lançamento'!C8,"")</f>
        <v/>
      </c>
      <c r="H12" s="26" t="n"/>
      <c r="I12" s="33">
        <f>IF(ISNUMBER('Lançamento'!D8),'Lançamento'!D8,"")</f>
        <v/>
      </c>
      <c r="J12" s="26" t="n"/>
      <c r="K12" s="33">
        <f>IF(ISNUMBER('Lançamento'!E8),'Lançamento'!E8,"")</f>
        <v/>
      </c>
      <c r="L12" s="26" t="n"/>
      <c r="M12" s="33">
        <f>IF(ISNUMBER('Lançamento'!F8),'Lançamento'!F8,"")</f>
        <v/>
      </c>
      <c r="N12" s="26" t="n"/>
      <c r="O12" s="33">
        <f>IF(ISNUMBER('Lançamento'!G8),'Lançamento'!G8,"")</f>
        <v/>
      </c>
      <c r="P12" s="26" t="n"/>
      <c r="Q12" s="33">
        <f>IF(ISNUMBER('Lançamento'!H8),'Lançamento'!H8,"")</f>
        <v/>
      </c>
      <c r="R12" s="26" t="n"/>
      <c r="S12" s="33">
        <f>IF(ISNUMBER('Lançamento'!I8),'Lançamento'!I8,"")</f>
        <v/>
      </c>
      <c r="T12" s="26" t="n"/>
      <c r="U12" s="33">
        <f>IF(ISNUMBER('Lançamento'!J8),'Lançamento'!J8,"")</f>
        <v/>
      </c>
      <c r="V12" s="26" t="n"/>
      <c r="W12" s="33">
        <f>IF(ISNUMBER('Lançamento'!K8),'Lançamento'!K8,"")</f>
        <v/>
      </c>
      <c r="X12" s="26" t="n"/>
      <c r="Y12" s="33">
        <f>IF(ISNUMBER('Lançamento'!L8),'Lançamento'!L8,"")</f>
        <v/>
      </c>
      <c r="Z12" s="26" t="n"/>
      <c r="AA12" s="33">
        <f>IF(ISNUMBER('Lançamento'!M8),'Lançamento'!M8,"")</f>
        <v/>
      </c>
      <c r="AB12" s="26" t="n"/>
      <c r="AC12" s="34">
        <f>IF(ISNUMBER('Lançamento'!O8),'Lançamento'!O8,"")</f>
        <v/>
      </c>
      <c r="AD12" s="26" t="n"/>
    </row>
    <row r="13" ht="20" customHeight="1">
      <c r="A13" s="31">
        <f>IF('Lançamento'!A9="","",'Lançamento'!A9)</f>
        <v/>
      </c>
      <c r="B13" s="32" t="n"/>
      <c r="C13" s="32" t="n"/>
      <c r="D13" s="32" t="n"/>
      <c r="E13" s="33">
        <f>IF(ISNUMBER('Lançamento'!B9),'Lançamento'!B9,"")</f>
        <v/>
      </c>
      <c r="F13" s="26" t="n"/>
      <c r="G13" s="33">
        <f>IF(ISNUMBER('Lançamento'!C9),'Lançamento'!C9,"")</f>
        <v/>
      </c>
      <c r="H13" s="26" t="n"/>
      <c r="I13" s="33">
        <f>IF(ISNUMBER('Lançamento'!D9),'Lançamento'!D9,"")</f>
        <v/>
      </c>
      <c r="J13" s="26" t="n"/>
      <c r="K13" s="33">
        <f>IF(ISNUMBER('Lançamento'!E9),'Lançamento'!E9,"")</f>
        <v/>
      </c>
      <c r="L13" s="26" t="n"/>
      <c r="M13" s="33">
        <f>IF(ISNUMBER('Lançamento'!F9),'Lançamento'!F9,"")</f>
        <v/>
      </c>
      <c r="N13" s="26" t="n"/>
      <c r="O13" s="33">
        <f>IF(ISNUMBER('Lançamento'!G9),'Lançamento'!G9,"")</f>
        <v/>
      </c>
      <c r="P13" s="26" t="n"/>
      <c r="Q13" s="33">
        <f>IF(ISNUMBER('Lançamento'!H9),'Lançamento'!H9,"")</f>
        <v/>
      </c>
      <c r="R13" s="26" t="n"/>
      <c r="S13" s="33">
        <f>IF(ISNUMBER('Lançamento'!I9),'Lançamento'!I9,"")</f>
        <v/>
      </c>
      <c r="T13" s="26" t="n"/>
      <c r="U13" s="33">
        <f>IF(ISNUMBER('Lançamento'!J9),'Lançamento'!J9,"")</f>
        <v/>
      </c>
      <c r="V13" s="26" t="n"/>
      <c r="W13" s="33">
        <f>IF(ISNUMBER('Lançamento'!K9),'Lançamento'!K9,"")</f>
        <v/>
      </c>
      <c r="X13" s="26" t="n"/>
      <c r="Y13" s="33">
        <f>IF(ISNUMBER('Lançamento'!L9),'Lançamento'!L9,"")</f>
        <v/>
      </c>
      <c r="Z13" s="26" t="n"/>
      <c r="AA13" s="33">
        <f>IF(ISNUMBER('Lançamento'!M9),'Lançamento'!M9,"")</f>
        <v/>
      </c>
      <c r="AB13" s="26" t="n"/>
      <c r="AC13" s="34">
        <f>IF(ISNUMBER('Lançamento'!O9),'Lançamento'!O9,"")</f>
        <v/>
      </c>
      <c r="AD13" s="26" t="n"/>
    </row>
    <row r="14" ht="20" customHeight="1">
      <c r="A14" s="31">
        <f>IF('Lançamento'!A10="","",'Lançamento'!A10)</f>
        <v/>
      </c>
      <c r="B14" s="32" t="n"/>
      <c r="C14" s="32" t="n"/>
      <c r="D14" s="32" t="n"/>
      <c r="E14" s="33">
        <f>IF(ISNUMBER('Lançamento'!B10),'Lançamento'!B10,"")</f>
        <v/>
      </c>
      <c r="F14" s="26" t="n"/>
      <c r="G14" s="33">
        <f>IF(ISNUMBER('Lançamento'!C10),'Lançamento'!C10,"")</f>
        <v/>
      </c>
      <c r="H14" s="26" t="n"/>
      <c r="I14" s="33">
        <f>IF(ISNUMBER('Lançamento'!D10),'Lançamento'!D10,"")</f>
        <v/>
      </c>
      <c r="J14" s="26" t="n"/>
      <c r="K14" s="33">
        <f>IF(ISNUMBER('Lançamento'!E10),'Lançamento'!E10,"")</f>
        <v/>
      </c>
      <c r="L14" s="26" t="n"/>
      <c r="M14" s="33">
        <f>IF(ISNUMBER('Lançamento'!F10),'Lançamento'!F10,"")</f>
        <v/>
      </c>
      <c r="N14" s="26" t="n"/>
      <c r="O14" s="33">
        <f>IF(ISNUMBER('Lançamento'!G10),'Lançamento'!G10,"")</f>
        <v/>
      </c>
      <c r="P14" s="26" t="n"/>
      <c r="Q14" s="33">
        <f>IF(ISNUMBER('Lançamento'!H10),'Lançamento'!H10,"")</f>
        <v/>
      </c>
      <c r="R14" s="26" t="n"/>
      <c r="S14" s="33">
        <f>IF(ISNUMBER('Lançamento'!I10),'Lançamento'!I10,"")</f>
        <v/>
      </c>
      <c r="T14" s="26" t="n"/>
      <c r="U14" s="33">
        <f>IF(ISNUMBER('Lançamento'!J10),'Lançamento'!J10,"")</f>
        <v/>
      </c>
      <c r="V14" s="26" t="n"/>
      <c r="W14" s="33">
        <f>IF(ISNUMBER('Lançamento'!K10),'Lançamento'!K10,"")</f>
        <v/>
      </c>
      <c r="X14" s="26" t="n"/>
      <c r="Y14" s="33">
        <f>IF(ISNUMBER('Lançamento'!L10),'Lançamento'!L10,"")</f>
        <v/>
      </c>
      <c r="Z14" s="26" t="n"/>
      <c r="AA14" s="33">
        <f>IF(ISNUMBER('Lançamento'!M10),'Lançamento'!M10,"")</f>
        <v/>
      </c>
      <c r="AB14" s="26" t="n"/>
      <c r="AC14" s="34">
        <f>IF(ISNUMBER('Lançamento'!O10),'Lançamento'!O10,"")</f>
        <v/>
      </c>
      <c r="AD14" s="26" t="n"/>
    </row>
    <row r="15" ht="20" customHeight="1">
      <c r="A15" s="31">
        <f>IF('Lançamento'!A11="","",'Lançamento'!A11)</f>
        <v/>
      </c>
      <c r="B15" s="32" t="n"/>
      <c r="C15" s="32" t="n"/>
      <c r="D15" s="32" t="n"/>
      <c r="E15" s="33">
        <f>IF(ISNUMBER('Lançamento'!B11),'Lançamento'!B11,"")</f>
        <v/>
      </c>
      <c r="F15" s="26" t="n"/>
      <c r="G15" s="33">
        <f>IF(ISNUMBER('Lançamento'!C11),'Lançamento'!C11,"")</f>
        <v/>
      </c>
      <c r="H15" s="26" t="n"/>
      <c r="I15" s="33">
        <f>IF(ISNUMBER('Lançamento'!D11),'Lançamento'!D11,"")</f>
        <v/>
      </c>
      <c r="J15" s="26" t="n"/>
      <c r="K15" s="33">
        <f>IF(ISNUMBER('Lançamento'!E11),'Lançamento'!E11,"")</f>
        <v/>
      </c>
      <c r="L15" s="26" t="n"/>
      <c r="M15" s="33">
        <f>IF(ISNUMBER('Lançamento'!F11),'Lançamento'!F11,"")</f>
        <v/>
      </c>
      <c r="N15" s="26" t="n"/>
      <c r="O15" s="33">
        <f>IF(ISNUMBER('Lançamento'!G11),'Lançamento'!G11,"")</f>
        <v/>
      </c>
      <c r="P15" s="26" t="n"/>
      <c r="Q15" s="33">
        <f>IF(ISNUMBER('Lançamento'!H11),'Lançamento'!H11,"")</f>
        <v/>
      </c>
      <c r="R15" s="26" t="n"/>
      <c r="S15" s="33">
        <f>IF(ISNUMBER('Lançamento'!I11),'Lançamento'!I11,"")</f>
        <v/>
      </c>
      <c r="T15" s="26" t="n"/>
      <c r="U15" s="33">
        <f>IF(ISNUMBER('Lançamento'!J11),'Lançamento'!J11,"")</f>
        <v/>
      </c>
      <c r="V15" s="26" t="n"/>
      <c r="W15" s="33">
        <f>IF(ISNUMBER('Lançamento'!K11),'Lançamento'!K11,"")</f>
        <v/>
      </c>
      <c r="X15" s="26" t="n"/>
      <c r="Y15" s="33">
        <f>IF(ISNUMBER('Lançamento'!L11),'Lançamento'!L11,"")</f>
        <v/>
      </c>
      <c r="Z15" s="26" t="n"/>
      <c r="AA15" s="33">
        <f>IF(ISNUMBER('Lançamento'!M11),'Lançamento'!M11,"")</f>
        <v/>
      </c>
      <c r="AB15" s="26" t="n"/>
      <c r="AC15" s="34">
        <f>IF(ISNUMBER('Lançamento'!O11),'Lançamento'!O11,"")</f>
        <v/>
      </c>
      <c r="AD15" s="26" t="n"/>
    </row>
    <row r="16" ht="20" customHeight="1">
      <c r="A16" s="31">
        <f>IF('Lançamento'!A12="","",'Lançamento'!A12)</f>
        <v/>
      </c>
      <c r="B16" s="32" t="n"/>
      <c r="C16" s="32" t="n"/>
      <c r="D16" s="32" t="n"/>
      <c r="E16" s="33">
        <f>IF(ISNUMBER('Lançamento'!B12),'Lançamento'!B12,"")</f>
        <v/>
      </c>
      <c r="F16" s="26" t="n"/>
      <c r="G16" s="33">
        <f>IF(ISNUMBER('Lançamento'!C12),'Lançamento'!C12,"")</f>
        <v/>
      </c>
      <c r="H16" s="26" t="n"/>
      <c r="I16" s="33">
        <f>IF(ISNUMBER('Lançamento'!D12),'Lançamento'!D12,"")</f>
        <v/>
      </c>
      <c r="J16" s="26" t="n"/>
      <c r="K16" s="33">
        <f>IF(ISNUMBER('Lançamento'!E12),'Lançamento'!E12,"")</f>
        <v/>
      </c>
      <c r="L16" s="26" t="n"/>
      <c r="M16" s="33">
        <f>IF(ISNUMBER('Lançamento'!F12),'Lançamento'!F12,"")</f>
        <v/>
      </c>
      <c r="N16" s="26" t="n"/>
      <c r="O16" s="33">
        <f>IF(ISNUMBER('Lançamento'!G12),'Lançamento'!G12,"")</f>
        <v/>
      </c>
      <c r="P16" s="26" t="n"/>
      <c r="Q16" s="33">
        <f>IF(ISNUMBER('Lançamento'!H12),'Lançamento'!H12,"")</f>
        <v/>
      </c>
      <c r="R16" s="26" t="n"/>
      <c r="S16" s="33">
        <f>IF(ISNUMBER('Lançamento'!I12),'Lançamento'!I12,"")</f>
        <v/>
      </c>
      <c r="T16" s="26" t="n"/>
      <c r="U16" s="33">
        <f>IF(ISNUMBER('Lançamento'!J12),'Lançamento'!J12,"")</f>
        <v/>
      </c>
      <c r="V16" s="26" t="n"/>
      <c r="W16" s="33">
        <f>IF(ISNUMBER('Lançamento'!K12),'Lançamento'!K12,"")</f>
        <v/>
      </c>
      <c r="X16" s="26" t="n"/>
      <c r="Y16" s="33">
        <f>IF(ISNUMBER('Lançamento'!L12),'Lançamento'!L12,"")</f>
        <v/>
      </c>
      <c r="Z16" s="26" t="n"/>
      <c r="AA16" s="33">
        <f>IF(ISNUMBER('Lançamento'!M12),'Lançamento'!M12,"")</f>
        <v/>
      </c>
      <c r="AB16" s="26" t="n"/>
      <c r="AC16" s="34">
        <f>IF(ISNUMBER('Lançamento'!O12),'Lançamento'!O12,"")</f>
        <v/>
      </c>
      <c r="AD16" s="26" t="n"/>
    </row>
    <row r="17" ht="20" customHeight="1">
      <c r="A17" s="31">
        <f>IF('Lançamento'!A13="","",'Lançamento'!A13)</f>
        <v/>
      </c>
      <c r="B17" s="32" t="n"/>
      <c r="C17" s="32" t="n"/>
      <c r="D17" s="32" t="n"/>
      <c r="E17" s="33">
        <f>IF(ISNUMBER('Lançamento'!B13),'Lançamento'!B13,"")</f>
        <v/>
      </c>
      <c r="F17" s="26" t="n"/>
      <c r="G17" s="33">
        <f>IF(ISNUMBER('Lançamento'!C13),'Lançamento'!C13,"")</f>
        <v/>
      </c>
      <c r="H17" s="26" t="n"/>
      <c r="I17" s="33">
        <f>IF(ISNUMBER('Lançamento'!D13),'Lançamento'!D13,"")</f>
        <v/>
      </c>
      <c r="J17" s="26" t="n"/>
      <c r="K17" s="33">
        <f>IF(ISNUMBER('Lançamento'!E13),'Lançamento'!E13,"")</f>
        <v/>
      </c>
      <c r="L17" s="26" t="n"/>
      <c r="M17" s="33">
        <f>IF(ISNUMBER('Lançamento'!F13),'Lançamento'!F13,"")</f>
        <v/>
      </c>
      <c r="N17" s="26" t="n"/>
      <c r="O17" s="33">
        <f>IF(ISNUMBER('Lançamento'!G13),'Lançamento'!G13,"")</f>
        <v/>
      </c>
      <c r="P17" s="26" t="n"/>
      <c r="Q17" s="33">
        <f>IF(ISNUMBER('Lançamento'!H13),'Lançamento'!H13,"")</f>
        <v/>
      </c>
      <c r="R17" s="26" t="n"/>
      <c r="S17" s="33">
        <f>IF(ISNUMBER('Lançamento'!I13),'Lançamento'!I13,"")</f>
        <v/>
      </c>
      <c r="T17" s="26" t="n"/>
      <c r="U17" s="33">
        <f>IF(ISNUMBER('Lançamento'!J13),'Lançamento'!J13,"")</f>
        <v/>
      </c>
      <c r="V17" s="26" t="n"/>
      <c r="W17" s="33">
        <f>IF(ISNUMBER('Lançamento'!K13),'Lançamento'!K13,"")</f>
        <v/>
      </c>
      <c r="X17" s="26" t="n"/>
      <c r="Y17" s="33">
        <f>IF(ISNUMBER('Lançamento'!L13),'Lançamento'!L13,"")</f>
        <v/>
      </c>
      <c r="Z17" s="26" t="n"/>
      <c r="AA17" s="33">
        <f>IF(ISNUMBER('Lançamento'!M13),'Lançamento'!M13,"")</f>
        <v/>
      </c>
      <c r="AB17" s="26" t="n"/>
      <c r="AC17" s="34">
        <f>IF(ISNUMBER('Lançamento'!O13),'Lançamento'!O13,"")</f>
        <v/>
      </c>
      <c r="AD17" s="26" t="n"/>
    </row>
    <row r="18" hidden="1" ht="20" customHeight="1">
      <c r="A18" s="31">
        <f>IF('Lançamento'!A14="","",'Lançamento'!A14)</f>
        <v/>
      </c>
      <c r="B18" s="32" t="n"/>
      <c r="C18" s="32" t="n"/>
      <c r="D18" s="32" t="n"/>
      <c r="E18" s="33">
        <f>IF(ISNUMBER('Lançamento'!B14),'Lançamento'!B14,"")</f>
        <v/>
      </c>
      <c r="F18" s="26" t="n"/>
      <c r="G18" s="33">
        <f>IF(ISNUMBER('Lançamento'!C14),'Lançamento'!C14,"")</f>
        <v/>
      </c>
      <c r="H18" s="26" t="n"/>
      <c r="I18" s="33">
        <f>IF(ISNUMBER('Lançamento'!D14),'Lançamento'!D14,"")</f>
        <v/>
      </c>
      <c r="J18" s="26" t="n"/>
      <c r="K18" s="33">
        <f>IF(ISNUMBER('Lançamento'!E14),'Lançamento'!E14,"")</f>
        <v/>
      </c>
      <c r="L18" s="26" t="n"/>
      <c r="M18" s="33">
        <f>IF(ISNUMBER('Lançamento'!F14),'Lançamento'!F14,"")</f>
        <v/>
      </c>
      <c r="N18" s="26" t="n"/>
      <c r="O18" s="33">
        <f>IF(ISNUMBER('Lançamento'!G14),'Lançamento'!G14,"")</f>
        <v/>
      </c>
      <c r="P18" s="26" t="n"/>
      <c r="Q18" s="33">
        <f>IF(ISNUMBER('Lançamento'!H14),'Lançamento'!H14,"")</f>
        <v/>
      </c>
      <c r="R18" s="26" t="n"/>
      <c r="S18" s="33">
        <f>IF(ISNUMBER('Lançamento'!I14),'Lançamento'!I14,"")</f>
        <v/>
      </c>
      <c r="T18" s="26" t="n"/>
      <c r="U18" s="33">
        <f>IF(ISNUMBER('Lançamento'!J14),'Lançamento'!J14,"")</f>
        <v/>
      </c>
      <c r="V18" s="26" t="n"/>
      <c r="W18" s="33">
        <f>IF(ISNUMBER('Lançamento'!K14),'Lançamento'!K14,"")</f>
        <v/>
      </c>
      <c r="X18" s="26" t="n"/>
      <c r="Y18" s="33">
        <f>IF(ISNUMBER('Lançamento'!L14),'Lançamento'!L14,"")</f>
        <v/>
      </c>
      <c r="Z18" s="26" t="n"/>
      <c r="AA18" s="33">
        <f>IF(ISNUMBER('Lançamento'!M14),'Lançamento'!M14,"")</f>
        <v/>
      </c>
      <c r="AB18" s="26" t="n"/>
      <c r="AC18" s="34">
        <f>IF(ISNUMBER('Lançamento'!O14),'Lançamento'!O14,"")</f>
        <v/>
      </c>
      <c r="AD18" s="26" t="n"/>
    </row>
    <row r="19" hidden="1" ht="20" customHeight="1">
      <c r="A19" s="31">
        <f>IF('Lançamento'!A15="","",'Lançamento'!A15)</f>
        <v/>
      </c>
      <c r="B19" s="32" t="n"/>
      <c r="C19" s="32" t="n"/>
      <c r="D19" s="32" t="n"/>
      <c r="E19" s="33">
        <f>IF(ISNUMBER('Lançamento'!B15),'Lançamento'!B15,"")</f>
        <v/>
      </c>
      <c r="F19" s="26" t="n"/>
      <c r="G19" s="33">
        <f>IF(ISNUMBER('Lançamento'!C15),'Lançamento'!C15,"")</f>
        <v/>
      </c>
      <c r="H19" s="26" t="n"/>
      <c r="I19" s="33">
        <f>IF(ISNUMBER('Lançamento'!D15),'Lançamento'!D15,"")</f>
        <v/>
      </c>
      <c r="J19" s="26" t="n"/>
      <c r="K19" s="33">
        <f>IF(ISNUMBER('Lançamento'!E15),'Lançamento'!E15,"")</f>
        <v/>
      </c>
      <c r="L19" s="26" t="n"/>
      <c r="M19" s="33">
        <f>IF(ISNUMBER('Lançamento'!F15),'Lançamento'!F15,"")</f>
        <v/>
      </c>
      <c r="N19" s="26" t="n"/>
      <c r="O19" s="33">
        <f>IF(ISNUMBER('Lançamento'!G15),'Lançamento'!G15,"")</f>
        <v/>
      </c>
      <c r="P19" s="26" t="n"/>
      <c r="Q19" s="33">
        <f>IF(ISNUMBER('Lançamento'!H15),'Lançamento'!H15,"")</f>
        <v/>
      </c>
      <c r="R19" s="26" t="n"/>
      <c r="S19" s="33">
        <f>IF(ISNUMBER('Lançamento'!I15),'Lançamento'!I15,"")</f>
        <v/>
      </c>
      <c r="T19" s="26" t="n"/>
      <c r="U19" s="33">
        <f>IF(ISNUMBER('Lançamento'!J15),'Lançamento'!J15,"")</f>
        <v/>
      </c>
      <c r="V19" s="26" t="n"/>
      <c r="W19" s="33">
        <f>IF(ISNUMBER('Lançamento'!K15),'Lançamento'!K15,"")</f>
        <v/>
      </c>
      <c r="X19" s="26" t="n"/>
      <c r="Y19" s="33">
        <f>IF(ISNUMBER('Lançamento'!L15),'Lançamento'!L15,"")</f>
        <v/>
      </c>
      <c r="Z19" s="26" t="n"/>
      <c r="AA19" s="33">
        <f>IF(ISNUMBER('Lançamento'!M15),'Lançamento'!M15,"")</f>
        <v/>
      </c>
      <c r="AB19" s="26" t="n"/>
      <c r="AC19" s="34">
        <f>IF(ISNUMBER('Lançamento'!O15),'Lançamento'!O15,"")</f>
        <v/>
      </c>
      <c r="AD19" s="26" t="n"/>
    </row>
    <row r="20" hidden="1" ht="20" customHeight="1">
      <c r="A20" s="31">
        <f>IF('Lançamento'!A16="","",'Lançamento'!A16)</f>
        <v/>
      </c>
      <c r="B20" s="32" t="n"/>
      <c r="C20" s="32" t="n"/>
      <c r="D20" s="32" t="n"/>
      <c r="E20" s="33">
        <f>IF(ISNUMBER('Lançamento'!B16),'Lançamento'!B16,"")</f>
        <v/>
      </c>
      <c r="F20" s="26" t="n"/>
      <c r="G20" s="33">
        <f>IF(ISNUMBER('Lançamento'!C16),'Lançamento'!C16,"")</f>
        <v/>
      </c>
      <c r="H20" s="26" t="n"/>
      <c r="I20" s="33">
        <f>IF(ISNUMBER('Lançamento'!D16),'Lançamento'!D16,"")</f>
        <v/>
      </c>
      <c r="J20" s="26" t="n"/>
      <c r="K20" s="33">
        <f>IF(ISNUMBER('Lançamento'!E16),'Lançamento'!E16,"")</f>
        <v/>
      </c>
      <c r="L20" s="26" t="n"/>
      <c r="M20" s="33">
        <f>IF(ISNUMBER('Lançamento'!F16),'Lançamento'!F16,"")</f>
        <v/>
      </c>
      <c r="N20" s="26" t="n"/>
      <c r="O20" s="33">
        <f>IF(ISNUMBER('Lançamento'!G16),'Lançamento'!G16,"")</f>
        <v/>
      </c>
      <c r="P20" s="26" t="n"/>
      <c r="Q20" s="33">
        <f>IF(ISNUMBER('Lançamento'!H16),'Lançamento'!H16,"")</f>
        <v/>
      </c>
      <c r="R20" s="26" t="n"/>
      <c r="S20" s="33">
        <f>IF(ISNUMBER('Lançamento'!I16),'Lançamento'!I16,"")</f>
        <v/>
      </c>
      <c r="T20" s="26" t="n"/>
      <c r="U20" s="33">
        <f>IF(ISNUMBER('Lançamento'!J16),'Lançamento'!J16,"")</f>
        <v/>
      </c>
      <c r="V20" s="26" t="n"/>
      <c r="W20" s="33">
        <f>IF(ISNUMBER('Lançamento'!K16),'Lançamento'!K16,"")</f>
        <v/>
      </c>
      <c r="X20" s="26" t="n"/>
      <c r="Y20" s="33">
        <f>IF(ISNUMBER('Lançamento'!L16),'Lançamento'!L16,"")</f>
        <v/>
      </c>
      <c r="Z20" s="26" t="n"/>
      <c r="AA20" s="33">
        <f>IF(ISNUMBER('Lançamento'!M16),'Lançamento'!M16,"")</f>
        <v/>
      </c>
      <c r="AB20" s="26" t="n"/>
      <c r="AC20" s="34">
        <f>IF(ISNUMBER('Lançamento'!O16),'Lançamento'!O16,"")</f>
        <v/>
      </c>
      <c r="AD20" s="26" t="n"/>
    </row>
    <row r="21" hidden="1" ht="20" customHeight="1">
      <c r="A21" s="31">
        <f>IF('Lançamento'!A17="","",'Lançamento'!A17)</f>
        <v/>
      </c>
      <c r="B21" s="32" t="n"/>
      <c r="C21" s="32" t="n"/>
      <c r="D21" s="32" t="n"/>
      <c r="E21" s="33">
        <f>IF(ISNUMBER('Lançamento'!B17),'Lançamento'!B17,"")</f>
        <v/>
      </c>
      <c r="F21" s="26" t="n"/>
      <c r="G21" s="33">
        <f>IF(ISNUMBER('Lançamento'!C17),'Lançamento'!C17,"")</f>
        <v/>
      </c>
      <c r="H21" s="26" t="n"/>
      <c r="I21" s="33">
        <f>IF(ISNUMBER('Lançamento'!D17),'Lançamento'!D17,"")</f>
        <v/>
      </c>
      <c r="J21" s="26" t="n"/>
      <c r="K21" s="33">
        <f>IF(ISNUMBER('Lançamento'!E17),'Lançamento'!E17,"")</f>
        <v/>
      </c>
      <c r="L21" s="26" t="n"/>
      <c r="M21" s="33">
        <f>IF(ISNUMBER('Lançamento'!F17),'Lançamento'!F17,"")</f>
        <v/>
      </c>
      <c r="N21" s="26" t="n"/>
      <c r="O21" s="33">
        <f>IF(ISNUMBER('Lançamento'!G17),'Lançamento'!G17,"")</f>
        <v/>
      </c>
      <c r="P21" s="26" t="n"/>
      <c r="Q21" s="33">
        <f>IF(ISNUMBER('Lançamento'!H17),'Lançamento'!H17,"")</f>
        <v/>
      </c>
      <c r="R21" s="26" t="n"/>
      <c r="S21" s="33">
        <f>IF(ISNUMBER('Lançamento'!I17),'Lançamento'!I17,"")</f>
        <v/>
      </c>
      <c r="T21" s="26" t="n"/>
      <c r="U21" s="33">
        <f>IF(ISNUMBER('Lançamento'!J17),'Lançamento'!J17,"")</f>
        <v/>
      </c>
      <c r="V21" s="26" t="n"/>
      <c r="W21" s="33">
        <f>IF(ISNUMBER('Lançamento'!K17),'Lançamento'!K17,"")</f>
        <v/>
      </c>
      <c r="X21" s="26" t="n"/>
      <c r="Y21" s="33">
        <f>IF(ISNUMBER('Lançamento'!L17),'Lançamento'!L17,"")</f>
        <v/>
      </c>
      <c r="Z21" s="26" t="n"/>
      <c r="AA21" s="33">
        <f>IF(ISNUMBER('Lançamento'!M17),'Lançamento'!M17,"")</f>
        <v/>
      </c>
      <c r="AB21" s="26" t="n"/>
      <c r="AC21" s="34">
        <f>IF(ISNUMBER('Lançamento'!O17),'Lançamento'!O17,"")</f>
        <v/>
      </c>
      <c r="AD21" s="26" t="n"/>
    </row>
    <row r="22" hidden="1" ht="20" customHeight="1">
      <c r="A22" s="31">
        <f>IF('Lançamento'!A18="","",'Lançamento'!A18)</f>
        <v/>
      </c>
      <c r="B22" s="32" t="n"/>
      <c r="C22" s="32" t="n"/>
      <c r="D22" s="32" t="n"/>
      <c r="E22" s="33">
        <f>IF(ISNUMBER('Lançamento'!B18),'Lançamento'!B18,"")</f>
        <v/>
      </c>
      <c r="F22" s="26" t="n"/>
      <c r="G22" s="33">
        <f>IF(ISNUMBER('Lançamento'!C18),'Lançamento'!C18,"")</f>
        <v/>
      </c>
      <c r="H22" s="26" t="n"/>
      <c r="I22" s="33">
        <f>IF(ISNUMBER('Lançamento'!D18),'Lançamento'!D18,"")</f>
        <v/>
      </c>
      <c r="J22" s="26" t="n"/>
      <c r="K22" s="33">
        <f>IF(ISNUMBER('Lançamento'!E18),'Lançamento'!E18,"")</f>
        <v/>
      </c>
      <c r="L22" s="26" t="n"/>
      <c r="M22" s="33">
        <f>IF(ISNUMBER('Lançamento'!F18),'Lançamento'!F18,"")</f>
        <v/>
      </c>
      <c r="N22" s="26" t="n"/>
      <c r="O22" s="33">
        <f>IF(ISNUMBER('Lançamento'!G18),'Lançamento'!G18,"")</f>
        <v/>
      </c>
      <c r="P22" s="26" t="n"/>
      <c r="Q22" s="33">
        <f>IF(ISNUMBER('Lançamento'!H18),'Lançamento'!H18,"")</f>
        <v/>
      </c>
      <c r="R22" s="26" t="n"/>
      <c r="S22" s="33">
        <f>IF(ISNUMBER('Lançamento'!I18),'Lançamento'!I18,"")</f>
        <v/>
      </c>
      <c r="T22" s="26" t="n"/>
      <c r="U22" s="33">
        <f>IF(ISNUMBER('Lançamento'!J18),'Lançamento'!J18,"")</f>
        <v/>
      </c>
      <c r="V22" s="26" t="n"/>
      <c r="W22" s="33">
        <f>IF(ISNUMBER('Lançamento'!K18),'Lançamento'!K18,"")</f>
        <v/>
      </c>
      <c r="X22" s="26" t="n"/>
      <c r="Y22" s="33">
        <f>IF(ISNUMBER('Lançamento'!L18),'Lançamento'!L18,"")</f>
        <v/>
      </c>
      <c r="Z22" s="26" t="n"/>
      <c r="AA22" s="33">
        <f>IF(ISNUMBER('Lançamento'!M18),'Lançamento'!M18,"")</f>
        <v/>
      </c>
      <c r="AB22" s="26" t="n"/>
      <c r="AC22" s="34">
        <f>IF(ISNUMBER('Lançamento'!O18),'Lançamento'!O18,"")</f>
        <v/>
      </c>
      <c r="AD22" s="26" t="n"/>
    </row>
    <row r="23" hidden="1" ht="20" customHeight="1">
      <c r="A23" s="31">
        <f>IF('Lançamento'!A19="","",'Lançamento'!A19)</f>
        <v/>
      </c>
      <c r="B23" s="32" t="n"/>
      <c r="C23" s="32" t="n"/>
      <c r="D23" s="32" t="n"/>
      <c r="E23" s="33">
        <f>IF(ISNUMBER('Lançamento'!B19),'Lançamento'!B19,"")</f>
        <v/>
      </c>
      <c r="F23" s="26" t="n"/>
      <c r="G23" s="33">
        <f>IF(ISNUMBER('Lançamento'!C19),'Lançamento'!C19,"")</f>
        <v/>
      </c>
      <c r="H23" s="26" t="n"/>
      <c r="I23" s="33">
        <f>IF(ISNUMBER('Lançamento'!D19),'Lançamento'!D19,"")</f>
        <v/>
      </c>
      <c r="J23" s="26" t="n"/>
      <c r="K23" s="33">
        <f>IF(ISNUMBER('Lançamento'!E19),'Lançamento'!E19,"")</f>
        <v/>
      </c>
      <c r="L23" s="26" t="n"/>
      <c r="M23" s="33">
        <f>IF(ISNUMBER('Lançamento'!F19),'Lançamento'!F19,"")</f>
        <v/>
      </c>
      <c r="N23" s="26" t="n"/>
      <c r="O23" s="33">
        <f>IF(ISNUMBER('Lançamento'!G19),'Lançamento'!G19,"")</f>
        <v/>
      </c>
      <c r="P23" s="26" t="n"/>
      <c r="Q23" s="33">
        <f>IF(ISNUMBER('Lançamento'!H19),'Lançamento'!H19,"")</f>
        <v/>
      </c>
      <c r="R23" s="26" t="n"/>
      <c r="S23" s="33">
        <f>IF(ISNUMBER('Lançamento'!I19),'Lançamento'!I19,"")</f>
        <v/>
      </c>
      <c r="T23" s="26" t="n"/>
      <c r="U23" s="33">
        <f>IF(ISNUMBER('Lançamento'!J19),'Lançamento'!J19,"")</f>
        <v/>
      </c>
      <c r="V23" s="26" t="n"/>
      <c r="W23" s="33">
        <f>IF(ISNUMBER('Lançamento'!K19),'Lançamento'!K19,"")</f>
        <v/>
      </c>
      <c r="X23" s="26" t="n"/>
      <c r="Y23" s="33">
        <f>IF(ISNUMBER('Lançamento'!L19),'Lançamento'!L19,"")</f>
        <v/>
      </c>
      <c r="Z23" s="26" t="n"/>
      <c r="AA23" s="33">
        <f>IF(ISNUMBER('Lançamento'!M19),'Lançamento'!M19,"")</f>
        <v/>
      </c>
      <c r="AB23" s="26" t="n"/>
      <c r="AC23" s="34">
        <f>IF(ISNUMBER('Lançamento'!O19),'Lançamento'!O19,"")</f>
        <v/>
      </c>
      <c r="AD23" s="26" t="n"/>
    </row>
    <row r="24" hidden="1" ht="20" customHeight="1">
      <c r="A24" s="31">
        <f>IF('Lançamento'!A20="","",'Lançamento'!A20)</f>
        <v/>
      </c>
      <c r="B24" s="32" t="n"/>
      <c r="C24" s="32" t="n"/>
      <c r="D24" s="32" t="n"/>
      <c r="E24" s="33">
        <f>IF(ISNUMBER('Lançamento'!B20),'Lançamento'!B20,"")</f>
        <v/>
      </c>
      <c r="F24" s="26" t="n"/>
      <c r="G24" s="33">
        <f>IF(ISNUMBER('Lançamento'!C20),'Lançamento'!C20,"")</f>
        <v/>
      </c>
      <c r="H24" s="26" t="n"/>
      <c r="I24" s="33">
        <f>IF(ISNUMBER('Lançamento'!D20),'Lançamento'!D20,"")</f>
        <v/>
      </c>
      <c r="J24" s="26" t="n"/>
      <c r="K24" s="33">
        <f>IF(ISNUMBER('Lançamento'!E20),'Lançamento'!E20,"")</f>
        <v/>
      </c>
      <c r="L24" s="26" t="n"/>
      <c r="M24" s="33">
        <f>IF(ISNUMBER('Lançamento'!F20),'Lançamento'!F20,"")</f>
        <v/>
      </c>
      <c r="N24" s="26" t="n"/>
      <c r="O24" s="33">
        <f>IF(ISNUMBER('Lançamento'!G20),'Lançamento'!G20,"")</f>
        <v/>
      </c>
      <c r="P24" s="26" t="n"/>
      <c r="Q24" s="33">
        <f>IF(ISNUMBER('Lançamento'!H20),'Lançamento'!H20,"")</f>
        <v/>
      </c>
      <c r="R24" s="26" t="n"/>
      <c r="S24" s="33">
        <f>IF(ISNUMBER('Lançamento'!I20),'Lançamento'!I20,"")</f>
        <v/>
      </c>
      <c r="T24" s="26" t="n"/>
      <c r="U24" s="33">
        <f>IF(ISNUMBER('Lançamento'!J20),'Lançamento'!J20,"")</f>
        <v/>
      </c>
      <c r="V24" s="26" t="n"/>
      <c r="W24" s="33">
        <f>IF(ISNUMBER('Lançamento'!K20),'Lançamento'!K20,"")</f>
        <v/>
      </c>
      <c r="X24" s="26" t="n"/>
      <c r="Y24" s="33">
        <f>IF(ISNUMBER('Lançamento'!L20),'Lançamento'!L20,"")</f>
        <v/>
      </c>
      <c r="Z24" s="26" t="n"/>
      <c r="AA24" s="33">
        <f>IF(ISNUMBER('Lançamento'!M20),'Lançamento'!M20,"")</f>
        <v/>
      </c>
      <c r="AB24" s="26" t="n"/>
      <c r="AC24" s="34">
        <f>IF(ISNUMBER('Lançamento'!O20),'Lançamento'!O20,"")</f>
        <v/>
      </c>
      <c r="AD24" s="26" t="n"/>
    </row>
    <row r="25" hidden="1" ht="20" customHeight="1">
      <c r="A25" s="31">
        <f>IF('Lançamento'!A21="","",'Lançamento'!A21)</f>
        <v/>
      </c>
      <c r="B25" s="32" t="n"/>
      <c r="C25" s="32" t="n"/>
      <c r="D25" s="32" t="n"/>
      <c r="E25" s="33">
        <f>IF(ISNUMBER('Lançamento'!B21),'Lançamento'!B21,"")</f>
        <v/>
      </c>
      <c r="F25" s="26" t="n"/>
      <c r="G25" s="33">
        <f>IF(ISNUMBER('Lançamento'!C21),'Lançamento'!C21,"")</f>
        <v/>
      </c>
      <c r="H25" s="26" t="n"/>
      <c r="I25" s="33">
        <f>IF(ISNUMBER('Lançamento'!D21),'Lançamento'!D21,"")</f>
        <v/>
      </c>
      <c r="J25" s="26" t="n"/>
      <c r="K25" s="33">
        <f>IF(ISNUMBER('Lançamento'!E21),'Lançamento'!E21,"")</f>
        <v/>
      </c>
      <c r="L25" s="26" t="n"/>
      <c r="M25" s="33">
        <f>IF(ISNUMBER('Lançamento'!F21),'Lançamento'!F21,"")</f>
        <v/>
      </c>
      <c r="N25" s="26" t="n"/>
      <c r="O25" s="33">
        <f>IF(ISNUMBER('Lançamento'!G21),'Lançamento'!G21,"")</f>
        <v/>
      </c>
      <c r="P25" s="26" t="n"/>
      <c r="Q25" s="33">
        <f>IF(ISNUMBER('Lançamento'!H21),'Lançamento'!H21,"")</f>
        <v/>
      </c>
      <c r="R25" s="26" t="n"/>
      <c r="S25" s="33">
        <f>IF(ISNUMBER('Lançamento'!I21),'Lançamento'!I21,"")</f>
        <v/>
      </c>
      <c r="T25" s="26" t="n"/>
      <c r="U25" s="33">
        <f>IF(ISNUMBER('Lançamento'!J21),'Lançamento'!J21,"")</f>
        <v/>
      </c>
      <c r="V25" s="26" t="n"/>
      <c r="W25" s="33">
        <f>IF(ISNUMBER('Lançamento'!K21),'Lançamento'!K21,"")</f>
        <v/>
      </c>
      <c r="X25" s="26" t="n"/>
      <c r="Y25" s="33">
        <f>IF(ISNUMBER('Lançamento'!L21),'Lançamento'!L21,"")</f>
        <v/>
      </c>
      <c r="Z25" s="26" t="n"/>
      <c r="AA25" s="33">
        <f>IF(ISNUMBER('Lançamento'!M21),'Lançamento'!M21,"")</f>
        <v/>
      </c>
      <c r="AB25" s="26" t="n"/>
      <c r="AC25" s="34">
        <f>IF(ISNUMBER('Lançamento'!O21),'Lançamento'!O21,"")</f>
        <v/>
      </c>
      <c r="AD25" s="26" t="n"/>
    </row>
    <row r="26" ht="10" customHeight="1"/>
    <row r="27" ht="20" customHeight="1">
      <c r="A27" s="18" t="n"/>
      <c r="B27" s="19">
        <f>"Verde: ≥ "&amp;ROUND('Lançamento'!H3*100,1)&amp;"%"</f>
        <v/>
      </c>
      <c r="G27" s="20" t="n"/>
      <c r="H27" s="19">
        <f>"Laranja: ≥ "&amp;ROUND('Lançamento'!K3*100,1)&amp;"% e &lt; "&amp;ROUND('Lançamento'!H3*100,1)&amp;"%"</f>
        <v/>
      </c>
      <c r="N27" s="21" t="n"/>
      <c r="O27" s="19">
        <f>"Vermelho: &lt; "&amp;ROUND('Lançamento'!K3*100,1)&amp;"%"</f>
        <v/>
      </c>
      <c r="T27" s="22" t="inlineStr">
        <is>
          <t>- - -</t>
        </is>
      </c>
      <c r="U27" s="19" t="inlineStr">
        <is>
          <t>Meta (linha tracejada)</t>
        </is>
      </c>
      <c r="Z27" s="23" t="inlineStr">
        <is>
          <t>——</t>
        </is>
      </c>
      <c r="AA27" s="19" t="inlineStr">
        <is>
          <t>Tendência: média móvel de 3 meses</t>
        </is>
      </c>
    </row>
  </sheetData>
  <mergeCells count="258">
    <mergeCell ref="Q13:R13"/>
    <mergeCell ref="G21:H21"/>
    <mergeCell ref="Y5:AD5"/>
    <mergeCell ref="Q21:R21"/>
    <mergeCell ref="S21:T21"/>
    <mergeCell ref="K24:L24"/>
    <mergeCell ref="G6:L6"/>
    <mergeCell ref="AA3:AD3"/>
    <mergeCell ref="U15:V15"/>
    <mergeCell ref="W15:X15"/>
    <mergeCell ref="A20:D20"/>
    <mergeCell ref="AA13:AB13"/>
    <mergeCell ref="O15:P15"/>
    <mergeCell ref="Y15:Z15"/>
    <mergeCell ref="AC13:AD13"/>
    <mergeCell ref="E23:F23"/>
    <mergeCell ref="G23:H23"/>
    <mergeCell ref="W24:X24"/>
    <mergeCell ref="Y24:Z24"/>
    <mergeCell ref="A13:D13"/>
    <mergeCell ref="M6:R6"/>
    <mergeCell ref="Y21:Z21"/>
    <mergeCell ref="G5:L5"/>
    <mergeCell ref="Y6:AD6"/>
    <mergeCell ref="AA15:AB15"/>
    <mergeCell ref="AC15:AD15"/>
    <mergeCell ref="I16:J16"/>
    <mergeCell ref="AA24:AB24"/>
    <mergeCell ref="A5:F5"/>
    <mergeCell ref="M10:N10"/>
    <mergeCell ref="AC24:AD24"/>
    <mergeCell ref="I25:J25"/>
    <mergeCell ref="A15:D15"/>
    <mergeCell ref="U16:V16"/>
    <mergeCell ref="A24:D24"/>
    <mergeCell ref="Y10:Z10"/>
    <mergeCell ref="G18:H18"/>
    <mergeCell ref="I18:J18"/>
    <mergeCell ref="M16:N16"/>
    <mergeCell ref="O16:P16"/>
    <mergeCell ref="M25:N25"/>
    <mergeCell ref="O25:P25"/>
    <mergeCell ref="AA27:AD27"/>
    <mergeCell ref="S10:T10"/>
    <mergeCell ref="Y16:Z16"/>
    <mergeCell ref="AA16:AB16"/>
    <mergeCell ref="S19:T19"/>
    <mergeCell ref="AC10:AD10"/>
    <mergeCell ref="Y25:Z25"/>
    <mergeCell ref="AA25:AB25"/>
    <mergeCell ref="AC19:AD19"/>
    <mergeCell ref="AC25:AD25"/>
    <mergeCell ref="M18:N18"/>
    <mergeCell ref="Q9:R9"/>
    <mergeCell ref="A16:D16"/>
    <mergeCell ref="S9:T9"/>
    <mergeCell ref="Y18:Z18"/>
    <mergeCell ref="AC9:AD9"/>
    <mergeCell ref="AA18:AB18"/>
    <mergeCell ref="M17:N17"/>
    <mergeCell ref="H3:L3"/>
    <mergeCell ref="O17:P17"/>
    <mergeCell ref="G20:H20"/>
    <mergeCell ref="O11:P11"/>
    <mergeCell ref="Q17:R17"/>
    <mergeCell ref="I20:J20"/>
    <mergeCell ref="Q11:R11"/>
    <mergeCell ref="S20:T20"/>
    <mergeCell ref="AA11:AB11"/>
    <mergeCell ref="U20:V20"/>
    <mergeCell ref="AC11:AD11"/>
    <mergeCell ref="U14:V14"/>
    <mergeCell ref="M19:N19"/>
    <mergeCell ref="W14:X14"/>
    <mergeCell ref="I13:J13"/>
    <mergeCell ref="E22:F22"/>
    <mergeCell ref="G22:H22"/>
    <mergeCell ref="K13:L13"/>
    <mergeCell ref="AA22:AB22"/>
    <mergeCell ref="S22:T22"/>
    <mergeCell ref="O27:R27"/>
    <mergeCell ref="E12:F12"/>
    <mergeCell ref="A17:D17"/>
    <mergeCell ref="G12:H12"/>
    <mergeCell ref="U22:V22"/>
    <mergeCell ref="A22:D22"/>
    <mergeCell ref="Q12:R12"/>
    <mergeCell ref="I15:J15"/>
    <mergeCell ref="S12:T12"/>
    <mergeCell ref="K15:L15"/>
    <mergeCell ref="E14:F14"/>
    <mergeCell ref="A19:D19"/>
    <mergeCell ref="AC12:AD12"/>
    <mergeCell ref="K21:L21"/>
    <mergeCell ref="A9:D9"/>
    <mergeCell ref="Q23:R23"/>
    <mergeCell ref="O3:R3"/>
    <mergeCell ref="S23:T23"/>
    <mergeCell ref="AC14:AD14"/>
    <mergeCell ref="B3:E3"/>
    <mergeCell ref="AC23:AD23"/>
    <mergeCell ref="A11:D11"/>
    <mergeCell ref="S13:T13"/>
    <mergeCell ref="U13:V13"/>
    <mergeCell ref="M13:N13"/>
    <mergeCell ref="S5:X5"/>
    <mergeCell ref="B27:E27"/>
    <mergeCell ref="M21:N21"/>
    <mergeCell ref="W16:X16"/>
    <mergeCell ref="O21:P21"/>
    <mergeCell ref="G24:H24"/>
    <mergeCell ref="Q15:R15"/>
    <mergeCell ref="I24:J24"/>
    <mergeCell ref="S15:T15"/>
    <mergeCell ref="S24:T24"/>
    <mergeCell ref="U24:V24"/>
    <mergeCell ref="U18:V18"/>
    <mergeCell ref="W18:X18"/>
    <mergeCell ref="I17:J17"/>
    <mergeCell ref="K17:L17"/>
    <mergeCell ref="M24:N24"/>
    <mergeCell ref="E16:F16"/>
    <mergeCell ref="W17:X17"/>
    <mergeCell ref="G16:H16"/>
    <mergeCell ref="W11:X11"/>
    <mergeCell ref="I10:J10"/>
    <mergeCell ref="E25:F25"/>
    <mergeCell ref="G25:H25"/>
    <mergeCell ref="K10:L10"/>
    <mergeCell ref="I19:J19"/>
    <mergeCell ref="K19:L19"/>
    <mergeCell ref="U10:V10"/>
    <mergeCell ref="U19:V19"/>
    <mergeCell ref="G9:H9"/>
    <mergeCell ref="E18:F18"/>
    <mergeCell ref="W19:X19"/>
    <mergeCell ref="I9:J9"/>
    <mergeCell ref="AA17:AB17"/>
    <mergeCell ref="K16:L16"/>
    <mergeCell ref="AC17:AD17"/>
    <mergeCell ref="K25:L25"/>
    <mergeCell ref="U9:V9"/>
    <mergeCell ref="O19:P19"/>
    <mergeCell ref="G11:H11"/>
    <mergeCell ref="AA10:AB10"/>
    <mergeCell ref="W25:X25"/>
    <mergeCell ref="K9:L9"/>
    <mergeCell ref="I11:J11"/>
    <mergeCell ref="AA19:AB19"/>
    <mergeCell ref="M9:N9"/>
    <mergeCell ref="O9:P9"/>
    <mergeCell ref="A10:D10"/>
    <mergeCell ref="Y9:Z9"/>
    <mergeCell ref="AA9:AB9"/>
    <mergeCell ref="K11:L11"/>
    <mergeCell ref="E20:F20"/>
    <mergeCell ref="M11:N11"/>
    <mergeCell ref="W20:X20"/>
    <mergeCell ref="O20:P20"/>
    <mergeCell ref="Y20:Z20"/>
    <mergeCell ref="Y14:Z14"/>
    <mergeCell ref="Q20:R20"/>
    <mergeCell ref="Y11:Z11"/>
    <mergeCell ref="Q14:R14"/>
    <mergeCell ref="S14:T14"/>
    <mergeCell ref="E13:F13"/>
    <mergeCell ref="G13:H13"/>
    <mergeCell ref="W22:X22"/>
    <mergeCell ref="O22:P22"/>
    <mergeCell ref="Y22:Z22"/>
    <mergeCell ref="I21:J21"/>
    <mergeCell ref="U12:V12"/>
    <mergeCell ref="M15:N15"/>
    <mergeCell ref="M12:N12"/>
    <mergeCell ref="W12:X12"/>
    <mergeCell ref="E15:F15"/>
    <mergeCell ref="G15:H15"/>
    <mergeCell ref="U21:V21"/>
    <mergeCell ref="W21:X21"/>
    <mergeCell ref="I23:J23"/>
    <mergeCell ref="K23:L23"/>
    <mergeCell ref="Y13:Z13"/>
    <mergeCell ref="H27:L27"/>
    <mergeCell ref="AA21:AB21"/>
    <mergeCell ref="E21:F21"/>
    <mergeCell ref="AC21:AD21"/>
    <mergeCell ref="A12:D12"/>
    <mergeCell ref="M5:R5"/>
    <mergeCell ref="M23:N23"/>
    <mergeCell ref="A21:D21"/>
    <mergeCell ref="O23:P23"/>
    <mergeCell ref="Y23:Z23"/>
    <mergeCell ref="AA23:AB23"/>
    <mergeCell ref="K18:L18"/>
    <mergeCell ref="A14:D14"/>
    <mergeCell ref="Q16:R16"/>
    <mergeCell ref="A23:D23"/>
    <mergeCell ref="S16:T16"/>
    <mergeCell ref="Q25:R25"/>
    <mergeCell ref="S25:T25"/>
    <mergeCell ref="W10:X10"/>
    <mergeCell ref="AC16:AD16"/>
    <mergeCell ref="E24:F24"/>
    <mergeCell ref="O10:P10"/>
    <mergeCell ref="O24:P24"/>
    <mergeCell ref="O18:P18"/>
    <mergeCell ref="Q24:R24"/>
    <mergeCell ref="Q18:R18"/>
    <mergeCell ref="S18:T18"/>
    <mergeCell ref="E17:F17"/>
    <mergeCell ref="G17:H17"/>
    <mergeCell ref="AC18:AD18"/>
    <mergeCell ref="S17:T17"/>
    <mergeCell ref="S6:X6"/>
    <mergeCell ref="K20:L20"/>
    <mergeCell ref="S11:T11"/>
    <mergeCell ref="E10:F10"/>
    <mergeCell ref="U17:V17"/>
    <mergeCell ref="U11:V11"/>
    <mergeCell ref="G10:H10"/>
    <mergeCell ref="E19:F19"/>
    <mergeCell ref="M20:N20"/>
    <mergeCell ref="U25:V25"/>
    <mergeCell ref="G19:H19"/>
    <mergeCell ref="Q10:R10"/>
    <mergeCell ref="Y19:Z19"/>
    <mergeCell ref="Q19:R19"/>
    <mergeCell ref="I22:J22"/>
    <mergeCell ref="K22:L22"/>
    <mergeCell ref="E9:F9"/>
    <mergeCell ref="M22:N22"/>
    <mergeCell ref="Y17:Z17"/>
    <mergeCell ref="I12:J12"/>
    <mergeCell ref="AA20:AB20"/>
    <mergeCell ref="U27:X27"/>
    <mergeCell ref="K12:L12"/>
    <mergeCell ref="AC20:AD20"/>
    <mergeCell ref="E11:F11"/>
    <mergeCell ref="Q22:R22"/>
    <mergeCell ref="G14:H14"/>
    <mergeCell ref="A25:D25"/>
    <mergeCell ref="I14:J14"/>
    <mergeCell ref="K14:L14"/>
    <mergeCell ref="AC22:AD22"/>
    <mergeCell ref="W9:X9"/>
    <mergeCell ref="O12:P12"/>
    <mergeCell ref="Y12:Z12"/>
    <mergeCell ref="A18:D18"/>
    <mergeCell ref="AA12:AB12"/>
    <mergeCell ref="M14:N14"/>
    <mergeCell ref="U23:V23"/>
    <mergeCell ref="O14:P14"/>
    <mergeCell ref="A6:F6"/>
    <mergeCell ref="U3:X3"/>
    <mergeCell ref="W23:X23"/>
    <mergeCell ref="AA14:AB14"/>
    <mergeCell ref="W13:X13"/>
    <mergeCell ref="O13:P13"/>
  </mergeCells>
  <conditionalFormatting sqref="Y6">
    <cfRule type="expression" priority="1" dxfId="4">
      <formula>$Y$6&gt;0</formula>
    </cfRule>
    <cfRule type="expression" priority="2" dxfId="5">
      <formula>$Y$6=0</formula>
    </cfRule>
  </conditionalFormatting>
  <conditionalFormatting sqref="E10:AD25">
    <cfRule type="expression" priority="3" dxfId="6">
      <formula>AND(ISNUMBER(E10),ROUND(E10,6)&gt;=ROUND('Lançamento'!$H$3,6))</formula>
    </cfRule>
    <cfRule type="expression" priority="4" dxfId="7">
      <formula>AND(ISNUMBER(E10),ROUND(E10,6)&lt;ROUND('Lançamento'!$H$3,6),ROUND(E10,6)&gt;=ROUND('Lançamento'!$K$3,6))</formula>
    </cfRule>
    <cfRule type="expression" priority="5" dxfId="8">
      <formula>AND(ISNUMBER(E10),ROUND(E10,6)&lt;ROUND('Lançamento'!$K$3,6))</formula>
    </cfRule>
  </conditionalFormatting>
  <pageMargins left="0.75" right="0.75" top="1" bottom="1" header="0.5" footer="0.5"/>
  <pageSetup orientation="landscape" fitToHeight="0" fitToWidth="1"/>
  <rowBreaks count="1" manualBreakCount="1">
    <brk id="26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12" customWidth="1" min="4" max="4"/>
    <col width="16" customWidth="1" min="5" max="5"/>
    <col width="22" customWidth="1" min="6" max="6"/>
    <col width="20" customWidth="1" min="7" max="7"/>
    <col width="14" customWidth="1" min="8" max="8"/>
    <col width="17" customWidth="1" min="9" max="9"/>
    <col width="100" customWidth="1" min="10" max="10"/>
  </cols>
  <sheetData>
    <row r="1" ht="30" customHeight="1">
      <c r="A1" s="35" t="inlineStr">
        <is>
          <t>EVIDÊNCIAS DAS TAXAS DE ATENDIMENTO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2" ht="30" customHeight="1"/>
    <row r="3">
      <c r="A3" s="9" t="inlineStr">
        <is>
          <t>Como usar: copie o print (Win+Shift+S), vá em Lançamento, clique na célula do mês e use o botão 'Colar evidência'. Depois digite na coluna E o valor que aparece no print. Colunas cinza são calculadas.</t>
        </is>
      </c>
    </row>
    <row r="5" ht="22" customHeight="1">
      <c r="A5" s="37" t="inlineStr">
        <is>
          <t>MONTADORA</t>
        </is>
      </c>
      <c r="B5" s="37" t="inlineStr">
        <is>
          <t>MÊS Nº</t>
        </is>
      </c>
      <c r="C5" s="37" t="inlineStr">
        <is>
          <t>MÊS</t>
        </is>
      </c>
      <c r="D5" s="37" t="inlineStr">
        <is>
          <t>TAXA LANÇADA</t>
        </is>
      </c>
      <c r="E5" s="37" t="inlineStr">
        <is>
          <t>VALOR NO PRINT</t>
        </is>
      </c>
      <c r="F5" s="37" t="inlineStr">
        <is>
          <t>CONFERÊNCIA</t>
        </is>
      </c>
      <c r="G5" s="37" t="inlineStr">
        <is>
          <t>ORIGEM</t>
        </is>
      </c>
      <c r="H5" s="37" t="inlineStr">
        <is>
          <t>COLADO POR</t>
        </is>
      </c>
      <c r="I5" s="37" t="inlineStr">
        <is>
          <t>DATA/HORA</t>
        </is>
      </c>
      <c r="J5" s="37" t="inlineStr">
        <is>
          <t>EVIDÊNCIA (PRINT)</t>
        </is>
      </c>
    </row>
    <row r="6">
      <c r="A6" s="38" t="n"/>
      <c r="B6" s="39" t="n"/>
      <c r="C6" s="15">
        <f>IF($A6="","",CHOOSE($B6,"JAN","FEV","MAR","ABR","MAI","JUN","JUL","AGO","SET","OUT","NOV","DEZ"))</f>
        <v/>
      </c>
      <c r="D6" s="40">
        <f>IF($A6="","",IFERROR(IF(INDEX('Lançamento'!$B$6:$M$35,MATCH($A6,'Lançamento'!$A$6:$A$35,0),$B6)="","",INDEX('Lançamento'!$B$6:$M$35,MATCH($A6,'Lançamento'!$A$6:$A$35,0),$B6)),""))</f>
        <v/>
      </c>
      <c r="E6" s="12" t="n"/>
      <c r="F6" s="15">
        <f>IF($A6="","",IF(OR($D6="",$E6=""),"Digitar valor do print",IF(ABS($D6-$E6)&lt;=0.001,"✔ Confere","⚠ Divergente")))</f>
        <v/>
      </c>
      <c r="G6" s="39" t="n"/>
      <c r="H6" s="39" t="n"/>
      <c r="I6" s="41" t="n"/>
      <c r="J6" s="39" t="n"/>
    </row>
    <row r="7">
      <c r="A7" s="38" t="n"/>
      <c r="B7" s="39" t="n"/>
      <c r="C7" s="15">
        <f>IF($A7="","",CHOOSE($B7,"JAN","FEV","MAR","ABR","MAI","JUN","JUL","AGO","SET","OUT","NOV","DEZ"))</f>
        <v/>
      </c>
      <c r="D7" s="40">
        <f>IF($A7="","",IFERROR(IF(INDEX('Lançamento'!$B$6:$M$35,MATCH($A7,'Lançamento'!$A$6:$A$35,0),$B7)="","",INDEX('Lançamento'!$B$6:$M$35,MATCH($A7,'Lançamento'!$A$6:$A$35,0),$B7)),""))</f>
        <v/>
      </c>
      <c r="E7" s="12" t="n"/>
      <c r="F7" s="15">
        <f>IF($A7="","",IF(OR($D7="",$E7=""),"Digitar valor do print",IF(ABS($D7-$E7)&lt;=0.001,"✔ Confere","⚠ Divergente")))</f>
        <v/>
      </c>
      <c r="G7" s="39" t="n"/>
      <c r="H7" s="39" t="n"/>
      <c r="I7" s="41" t="n"/>
      <c r="J7" s="39" t="n"/>
    </row>
    <row r="8">
      <c r="A8" s="38" t="n"/>
      <c r="B8" s="39" t="n"/>
      <c r="C8" s="15">
        <f>IF($A8="","",CHOOSE($B8,"JAN","FEV","MAR","ABR","MAI","JUN","JUL","AGO","SET","OUT","NOV","DEZ"))</f>
        <v/>
      </c>
      <c r="D8" s="40">
        <f>IF($A8="","",IFERROR(IF(INDEX('Lançamento'!$B$6:$M$35,MATCH($A8,'Lançamento'!$A$6:$A$35,0),$B8)="","",INDEX('Lançamento'!$B$6:$M$35,MATCH($A8,'Lançamento'!$A$6:$A$35,0),$B8)),""))</f>
        <v/>
      </c>
      <c r="E8" s="12" t="n"/>
      <c r="F8" s="15">
        <f>IF($A8="","",IF(OR($D8="",$E8=""),"Digitar valor do print",IF(ABS($D8-$E8)&lt;=0.001,"✔ Confere","⚠ Divergente")))</f>
        <v/>
      </c>
      <c r="G8" s="39" t="n"/>
      <c r="H8" s="39" t="n"/>
      <c r="I8" s="41" t="n"/>
      <c r="J8" s="39" t="n"/>
    </row>
    <row r="9">
      <c r="A9" s="38" t="n"/>
      <c r="B9" s="39" t="n"/>
      <c r="C9" s="15">
        <f>IF($A9="","",CHOOSE($B9,"JAN","FEV","MAR","ABR","MAI","JUN","JUL","AGO","SET","OUT","NOV","DEZ"))</f>
        <v/>
      </c>
      <c r="D9" s="40">
        <f>IF($A9="","",IFERROR(IF(INDEX('Lançamento'!$B$6:$M$35,MATCH($A9,'Lançamento'!$A$6:$A$35,0),$B9)="","",INDEX('Lançamento'!$B$6:$M$35,MATCH($A9,'Lançamento'!$A$6:$A$35,0),$B9)),""))</f>
        <v/>
      </c>
      <c r="E9" s="12" t="n"/>
      <c r="F9" s="15">
        <f>IF($A9="","",IF(OR($D9="",$E9=""),"Digitar valor do print",IF(ABS($D9-$E9)&lt;=0.001,"✔ Confere","⚠ Divergente")))</f>
        <v/>
      </c>
      <c r="G9" s="39" t="n"/>
      <c r="H9" s="39" t="n"/>
      <c r="I9" s="41" t="n"/>
      <c r="J9" s="39" t="n"/>
    </row>
    <row r="10">
      <c r="A10" s="38" t="n"/>
      <c r="B10" s="39" t="n"/>
      <c r="C10" s="15">
        <f>IF($A10="","",CHOOSE($B10,"JAN","FEV","MAR","ABR","MAI","JUN","JUL","AGO","SET","OUT","NOV","DEZ"))</f>
        <v/>
      </c>
      <c r="D10" s="40">
        <f>IF($A10="","",IFERROR(IF(INDEX('Lançamento'!$B$6:$M$35,MATCH($A10,'Lançamento'!$A$6:$A$35,0),$B10)="","",INDEX('Lançamento'!$B$6:$M$35,MATCH($A10,'Lançamento'!$A$6:$A$35,0),$B10)),""))</f>
        <v/>
      </c>
      <c r="E10" s="12" t="n"/>
      <c r="F10" s="15">
        <f>IF($A10="","",IF(OR($D10="",$E10=""),"Digitar valor do print",IF(ABS($D10-$E10)&lt;=0.001,"✔ Confere","⚠ Divergente")))</f>
        <v/>
      </c>
      <c r="G10" s="39" t="n"/>
      <c r="H10" s="39" t="n"/>
      <c r="I10" s="41" t="n"/>
      <c r="J10" s="39" t="n"/>
    </row>
    <row r="11">
      <c r="A11" s="38" t="n"/>
      <c r="B11" s="39" t="n"/>
      <c r="C11" s="15">
        <f>IF($A11="","",CHOOSE($B11,"JAN","FEV","MAR","ABR","MAI","JUN","JUL","AGO","SET","OUT","NOV","DEZ"))</f>
        <v/>
      </c>
      <c r="D11" s="40">
        <f>IF($A11="","",IFERROR(IF(INDEX('Lançamento'!$B$6:$M$35,MATCH($A11,'Lançamento'!$A$6:$A$35,0),$B11)="","",INDEX('Lançamento'!$B$6:$M$35,MATCH($A11,'Lançamento'!$A$6:$A$35,0),$B11)),""))</f>
        <v/>
      </c>
      <c r="E11" s="12" t="n"/>
      <c r="F11" s="15">
        <f>IF($A11="","",IF(OR($D11="",$E11=""),"Digitar valor do print",IF(ABS($D11-$E11)&lt;=0.001,"✔ Confere","⚠ Divergente")))</f>
        <v/>
      </c>
      <c r="G11" s="39" t="n"/>
      <c r="H11" s="39" t="n"/>
      <c r="I11" s="41" t="n"/>
      <c r="J11" s="39" t="n"/>
    </row>
    <row r="12">
      <c r="A12" s="38" t="n"/>
      <c r="B12" s="39" t="n"/>
      <c r="C12" s="15">
        <f>IF($A12="","",CHOOSE($B12,"JAN","FEV","MAR","ABR","MAI","JUN","JUL","AGO","SET","OUT","NOV","DEZ"))</f>
        <v/>
      </c>
      <c r="D12" s="40">
        <f>IF($A12="","",IFERROR(IF(INDEX('Lançamento'!$B$6:$M$35,MATCH($A12,'Lançamento'!$A$6:$A$35,0),$B12)="","",INDEX('Lançamento'!$B$6:$M$35,MATCH($A12,'Lançamento'!$A$6:$A$35,0),$B12)),""))</f>
        <v/>
      </c>
      <c r="E12" s="12" t="n"/>
      <c r="F12" s="15">
        <f>IF($A12="","",IF(OR($D12="",$E12=""),"Digitar valor do print",IF(ABS($D12-$E12)&lt;=0.001,"✔ Confere","⚠ Divergente")))</f>
        <v/>
      </c>
      <c r="G12" s="39" t="n"/>
      <c r="H12" s="39" t="n"/>
      <c r="I12" s="41" t="n"/>
      <c r="J12" s="39" t="n"/>
    </row>
    <row r="13">
      <c r="A13" s="38" t="n"/>
      <c r="B13" s="39" t="n"/>
      <c r="C13" s="15">
        <f>IF($A13="","",CHOOSE($B13,"JAN","FEV","MAR","ABR","MAI","JUN","JUL","AGO","SET","OUT","NOV","DEZ"))</f>
        <v/>
      </c>
      <c r="D13" s="40">
        <f>IF($A13="","",IFERROR(IF(INDEX('Lançamento'!$B$6:$M$35,MATCH($A13,'Lançamento'!$A$6:$A$35,0),$B13)="","",INDEX('Lançamento'!$B$6:$M$35,MATCH($A13,'Lançamento'!$A$6:$A$35,0),$B13)),""))</f>
        <v/>
      </c>
      <c r="E13" s="12" t="n"/>
      <c r="F13" s="15">
        <f>IF($A13="","",IF(OR($D13="",$E13=""),"Digitar valor do print",IF(ABS($D13-$E13)&lt;=0.001,"✔ Confere","⚠ Divergente")))</f>
        <v/>
      </c>
      <c r="G13" s="39" t="n"/>
      <c r="H13" s="39" t="n"/>
      <c r="I13" s="41" t="n"/>
      <c r="J13" s="39" t="n"/>
    </row>
    <row r="14">
      <c r="A14" s="38" t="n"/>
      <c r="B14" s="39" t="n"/>
      <c r="C14" s="15">
        <f>IF($A14="","",CHOOSE($B14,"JAN","FEV","MAR","ABR","MAI","JUN","JUL","AGO","SET","OUT","NOV","DEZ"))</f>
        <v/>
      </c>
      <c r="D14" s="40">
        <f>IF($A14="","",IFERROR(IF(INDEX('Lançamento'!$B$6:$M$35,MATCH($A14,'Lançamento'!$A$6:$A$35,0),$B14)="","",INDEX('Lançamento'!$B$6:$M$35,MATCH($A14,'Lançamento'!$A$6:$A$35,0),$B14)),""))</f>
        <v/>
      </c>
      <c r="E14" s="12" t="n"/>
      <c r="F14" s="15">
        <f>IF($A14="","",IF(OR($D14="",$E14=""),"Digitar valor do print",IF(ABS($D14-$E14)&lt;=0.001,"✔ Confere","⚠ Divergente")))</f>
        <v/>
      </c>
      <c r="G14" s="39" t="n"/>
      <c r="H14" s="39" t="n"/>
      <c r="I14" s="41" t="n"/>
      <c r="J14" s="39" t="n"/>
    </row>
    <row r="15">
      <c r="A15" s="38" t="n"/>
      <c r="B15" s="39" t="n"/>
      <c r="C15" s="15">
        <f>IF($A15="","",CHOOSE($B15,"JAN","FEV","MAR","ABR","MAI","JUN","JUL","AGO","SET","OUT","NOV","DEZ"))</f>
        <v/>
      </c>
      <c r="D15" s="40">
        <f>IF($A15="","",IFERROR(IF(INDEX('Lançamento'!$B$6:$M$35,MATCH($A15,'Lançamento'!$A$6:$A$35,0),$B15)="","",INDEX('Lançamento'!$B$6:$M$35,MATCH($A15,'Lançamento'!$A$6:$A$35,0),$B15)),""))</f>
        <v/>
      </c>
      <c r="E15" s="12" t="n"/>
      <c r="F15" s="15">
        <f>IF($A15="","",IF(OR($D15="",$E15=""),"Digitar valor do print",IF(ABS($D15-$E15)&lt;=0.001,"✔ Confere","⚠ Divergente")))</f>
        <v/>
      </c>
      <c r="G15" s="39" t="n"/>
      <c r="H15" s="39" t="n"/>
      <c r="I15" s="41" t="n"/>
      <c r="J15" s="39" t="n"/>
    </row>
    <row r="16">
      <c r="A16" s="38" t="n"/>
      <c r="B16" s="39" t="n"/>
      <c r="C16" s="15">
        <f>IF($A16="","",CHOOSE($B16,"JAN","FEV","MAR","ABR","MAI","JUN","JUL","AGO","SET","OUT","NOV","DEZ"))</f>
        <v/>
      </c>
      <c r="D16" s="40">
        <f>IF($A16="","",IFERROR(IF(INDEX('Lançamento'!$B$6:$M$35,MATCH($A16,'Lançamento'!$A$6:$A$35,0),$B16)="","",INDEX('Lançamento'!$B$6:$M$35,MATCH($A16,'Lançamento'!$A$6:$A$35,0),$B16)),""))</f>
        <v/>
      </c>
      <c r="E16" s="12" t="n"/>
      <c r="F16" s="15">
        <f>IF($A16="","",IF(OR($D16="",$E16=""),"Digitar valor do print",IF(ABS($D16-$E16)&lt;=0.001,"✔ Confere","⚠ Divergente")))</f>
        <v/>
      </c>
      <c r="G16" s="39" t="n"/>
      <c r="H16" s="39" t="n"/>
      <c r="I16" s="41" t="n"/>
      <c r="J16" s="39" t="n"/>
    </row>
    <row r="17">
      <c r="A17" s="38" t="n"/>
      <c r="B17" s="39" t="n"/>
      <c r="C17" s="15">
        <f>IF($A17="","",CHOOSE($B17,"JAN","FEV","MAR","ABR","MAI","JUN","JUL","AGO","SET","OUT","NOV","DEZ"))</f>
        <v/>
      </c>
      <c r="D17" s="40">
        <f>IF($A17="","",IFERROR(IF(INDEX('Lançamento'!$B$6:$M$35,MATCH($A17,'Lançamento'!$A$6:$A$35,0),$B17)="","",INDEX('Lançamento'!$B$6:$M$35,MATCH($A17,'Lançamento'!$A$6:$A$35,0),$B17)),""))</f>
        <v/>
      </c>
      <c r="E17" s="12" t="n"/>
      <c r="F17" s="15">
        <f>IF($A17="","",IF(OR($D17="",$E17=""),"Digitar valor do print",IF(ABS($D17-$E17)&lt;=0.001,"✔ Confere","⚠ Divergente")))</f>
        <v/>
      </c>
      <c r="G17" s="39" t="n"/>
      <c r="H17" s="39" t="n"/>
      <c r="I17" s="41" t="n"/>
      <c r="J17" s="39" t="n"/>
    </row>
    <row r="18">
      <c r="A18" s="38" t="n"/>
      <c r="B18" s="39" t="n"/>
      <c r="C18" s="15">
        <f>IF($A18="","",CHOOSE($B18,"JAN","FEV","MAR","ABR","MAI","JUN","JUL","AGO","SET","OUT","NOV","DEZ"))</f>
        <v/>
      </c>
      <c r="D18" s="40">
        <f>IF($A18="","",IFERROR(IF(INDEX('Lançamento'!$B$6:$M$35,MATCH($A18,'Lançamento'!$A$6:$A$35,0),$B18)="","",INDEX('Lançamento'!$B$6:$M$35,MATCH($A18,'Lançamento'!$A$6:$A$35,0),$B18)),""))</f>
        <v/>
      </c>
      <c r="E18" s="12" t="n"/>
      <c r="F18" s="15">
        <f>IF($A18="","",IF(OR($D18="",$E18=""),"Digitar valor do print",IF(ABS($D18-$E18)&lt;=0.001,"✔ Confere","⚠ Divergente")))</f>
        <v/>
      </c>
      <c r="G18" s="39" t="n"/>
      <c r="H18" s="39" t="n"/>
      <c r="I18" s="41" t="n"/>
      <c r="J18" s="39" t="n"/>
    </row>
    <row r="19">
      <c r="A19" s="38" t="n"/>
      <c r="B19" s="39" t="n"/>
      <c r="C19" s="15">
        <f>IF($A19="","",CHOOSE($B19,"JAN","FEV","MAR","ABR","MAI","JUN","JUL","AGO","SET","OUT","NOV","DEZ"))</f>
        <v/>
      </c>
      <c r="D19" s="40">
        <f>IF($A19="","",IFERROR(IF(INDEX('Lançamento'!$B$6:$M$35,MATCH($A19,'Lançamento'!$A$6:$A$35,0),$B19)="","",INDEX('Lançamento'!$B$6:$M$35,MATCH($A19,'Lançamento'!$A$6:$A$35,0),$B19)),""))</f>
        <v/>
      </c>
      <c r="E19" s="12" t="n"/>
      <c r="F19" s="15">
        <f>IF($A19="","",IF(OR($D19="",$E19=""),"Digitar valor do print",IF(ABS($D19-$E19)&lt;=0.001,"✔ Confere","⚠ Divergente")))</f>
        <v/>
      </c>
      <c r="G19" s="39" t="n"/>
      <c r="H19" s="39" t="n"/>
      <c r="I19" s="41" t="n"/>
      <c r="J19" s="39" t="n"/>
    </row>
    <row r="20">
      <c r="A20" s="38" t="n"/>
      <c r="B20" s="39" t="n"/>
      <c r="C20" s="15">
        <f>IF($A20="","",CHOOSE($B20,"JAN","FEV","MAR","ABR","MAI","JUN","JUL","AGO","SET","OUT","NOV","DEZ"))</f>
        <v/>
      </c>
      <c r="D20" s="40">
        <f>IF($A20="","",IFERROR(IF(INDEX('Lançamento'!$B$6:$M$35,MATCH($A20,'Lançamento'!$A$6:$A$35,0),$B20)="","",INDEX('Lançamento'!$B$6:$M$35,MATCH($A20,'Lançamento'!$A$6:$A$35,0),$B20)),""))</f>
        <v/>
      </c>
      <c r="E20" s="12" t="n"/>
      <c r="F20" s="15">
        <f>IF($A20="","",IF(OR($D20="",$E20=""),"Digitar valor do print",IF(ABS($D20-$E20)&lt;=0.001,"✔ Confere","⚠ Divergente")))</f>
        <v/>
      </c>
      <c r="G20" s="39" t="n"/>
      <c r="H20" s="39" t="n"/>
      <c r="I20" s="41" t="n"/>
      <c r="J20" s="39" t="n"/>
    </row>
    <row r="21">
      <c r="A21" s="38" t="n"/>
      <c r="B21" s="39" t="n"/>
      <c r="C21" s="15">
        <f>IF($A21="","",CHOOSE($B21,"JAN","FEV","MAR","ABR","MAI","JUN","JUL","AGO","SET","OUT","NOV","DEZ"))</f>
        <v/>
      </c>
      <c r="D21" s="40">
        <f>IF($A21="","",IFERROR(IF(INDEX('Lançamento'!$B$6:$M$35,MATCH($A21,'Lançamento'!$A$6:$A$35,0),$B21)="","",INDEX('Lançamento'!$B$6:$M$35,MATCH($A21,'Lançamento'!$A$6:$A$35,0),$B21)),""))</f>
        <v/>
      </c>
      <c r="E21" s="12" t="n"/>
      <c r="F21" s="15">
        <f>IF($A21="","",IF(OR($D21="",$E21=""),"Digitar valor do print",IF(ABS($D21-$E21)&lt;=0.001,"✔ Confere","⚠ Divergente")))</f>
        <v/>
      </c>
      <c r="G21" s="39" t="n"/>
      <c r="H21" s="39" t="n"/>
      <c r="I21" s="41" t="n"/>
      <c r="J21" s="39" t="n"/>
    </row>
    <row r="22">
      <c r="A22" s="38" t="n"/>
      <c r="B22" s="39" t="n"/>
      <c r="C22" s="15">
        <f>IF($A22="","",CHOOSE($B22,"JAN","FEV","MAR","ABR","MAI","JUN","JUL","AGO","SET","OUT","NOV","DEZ"))</f>
        <v/>
      </c>
      <c r="D22" s="40">
        <f>IF($A22="","",IFERROR(IF(INDEX('Lançamento'!$B$6:$M$35,MATCH($A22,'Lançamento'!$A$6:$A$35,0),$B22)="","",INDEX('Lançamento'!$B$6:$M$35,MATCH($A22,'Lançamento'!$A$6:$A$35,0),$B22)),""))</f>
        <v/>
      </c>
      <c r="E22" s="12" t="n"/>
      <c r="F22" s="15">
        <f>IF($A22="","",IF(OR($D22="",$E22=""),"Digitar valor do print",IF(ABS($D22-$E22)&lt;=0.001,"✔ Confere","⚠ Divergente")))</f>
        <v/>
      </c>
      <c r="G22" s="39" t="n"/>
      <c r="H22" s="39" t="n"/>
      <c r="I22" s="41" t="n"/>
      <c r="J22" s="39" t="n"/>
    </row>
    <row r="23">
      <c r="A23" s="38" t="n"/>
      <c r="B23" s="39" t="n"/>
      <c r="C23" s="15">
        <f>IF($A23="","",CHOOSE($B23,"JAN","FEV","MAR","ABR","MAI","JUN","JUL","AGO","SET","OUT","NOV","DEZ"))</f>
        <v/>
      </c>
      <c r="D23" s="40">
        <f>IF($A23="","",IFERROR(IF(INDEX('Lançamento'!$B$6:$M$35,MATCH($A23,'Lançamento'!$A$6:$A$35,0),$B23)="","",INDEX('Lançamento'!$B$6:$M$35,MATCH($A23,'Lançamento'!$A$6:$A$35,0),$B23)),""))</f>
        <v/>
      </c>
      <c r="E23" s="12" t="n"/>
      <c r="F23" s="15">
        <f>IF($A23="","",IF(OR($D23="",$E23=""),"Digitar valor do print",IF(ABS($D23-$E23)&lt;=0.001,"✔ Confere","⚠ Divergente")))</f>
        <v/>
      </c>
      <c r="G23" s="39" t="n"/>
      <c r="H23" s="39" t="n"/>
      <c r="I23" s="41" t="n"/>
      <c r="J23" s="39" t="n"/>
    </row>
    <row r="24">
      <c r="A24" s="38" t="n"/>
      <c r="B24" s="39" t="n"/>
      <c r="C24" s="15">
        <f>IF($A24="","",CHOOSE($B24,"JAN","FEV","MAR","ABR","MAI","JUN","JUL","AGO","SET","OUT","NOV","DEZ"))</f>
        <v/>
      </c>
      <c r="D24" s="40">
        <f>IF($A24="","",IFERROR(IF(INDEX('Lançamento'!$B$6:$M$35,MATCH($A24,'Lançamento'!$A$6:$A$35,0),$B24)="","",INDEX('Lançamento'!$B$6:$M$35,MATCH($A24,'Lançamento'!$A$6:$A$35,0),$B24)),""))</f>
        <v/>
      </c>
      <c r="E24" s="12" t="n"/>
      <c r="F24" s="15">
        <f>IF($A24="","",IF(OR($D24="",$E24=""),"Digitar valor do print",IF(ABS($D24-$E24)&lt;=0.001,"✔ Confere","⚠ Divergente")))</f>
        <v/>
      </c>
      <c r="G24" s="39" t="n"/>
      <c r="H24" s="39" t="n"/>
      <c r="I24" s="41" t="n"/>
      <c r="J24" s="39" t="n"/>
    </row>
    <row r="25">
      <c r="A25" s="38" t="n"/>
      <c r="B25" s="39" t="n"/>
      <c r="C25" s="15">
        <f>IF($A25="","",CHOOSE($B25,"JAN","FEV","MAR","ABR","MAI","JUN","JUL","AGO","SET","OUT","NOV","DEZ"))</f>
        <v/>
      </c>
      <c r="D25" s="40">
        <f>IF($A25="","",IFERROR(IF(INDEX('Lançamento'!$B$6:$M$35,MATCH($A25,'Lançamento'!$A$6:$A$35,0),$B25)="","",INDEX('Lançamento'!$B$6:$M$35,MATCH($A25,'Lançamento'!$A$6:$A$35,0),$B25)),""))</f>
        <v/>
      </c>
      <c r="E25" s="12" t="n"/>
      <c r="F25" s="15">
        <f>IF($A25="","",IF(OR($D25="",$E25=""),"Digitar valor do print",IF(ABS($D25-$E25)&lt;=0.001,"✔ Confere","⚠ Divergente")))</f>
        <v/>
      </c>
      <c r="G25" s="39" t="n"/>
      <c r="H25" s="39" t="n"/>
      <c r="I25" s="41" t="n"/>
      <c r="J25" s="39" t="n"/>
    </row>
    <row r="26">
      <c r="A26" s="38" t="n"/>
      <c r="B26" s="39" t="n"/>
      <c r="C26" s="15">
        <f>IF($A26="","",CHOOSE($B26,"JAN","FEV","MAR","ABR","MAI","JUN","JUL","AGO","SET","OUT","NOV","DEZ"))</f>
        <v/>
      </c>
      <c r="D26" s="40">
        <f>IF($A26="","",IFERROR(IF(INDEX('Lançamento'!$B$6:$M$35,MATCH($A26,'Lançamento'!$A$6:$A$35,0),$B26)="","",INDEX('Lançamento'!$B$6:$M$35,MATCH($A26,'Lançamento'!$A$6:$A$35,0),$B26)),""))</f>
        <v/>
      </c>
      <c r="E26" s="12" t="n"/>
      <c r="F26" s="15">
        <f>IF($A26="","",IF(OR($D26="",$E26=""),"Digitar valor do print",IF(ABS($D26-$E26)&lt;=0.001,"✔ Confere","⚠ Divergente")))</f>
        <v/>
      </c>
      <c r="G26" s="39" t="n"/>
      <c r="H26" s="39" t="n"/>
      <c r="I26" s="41" t="n"/>
      <c r="J26" s="39" t="n"/>
    </row>
    <row r="27">
      <c r="A27" s="38" t="n"/>
      <c r="B27" s="39" t="n"/>
      <c r="C27" s="15">
        <f>IF($A27="","",CHOOSE($B27,"JAN","FEV","MAR","ABR","MAI","JUN","JUL","AGO","SET","OUT","NOV","DEZ"))</f>
        <v/>
      </c>
      <c r="D27" s="40">
        <f>IF($A27="","",IFERROR(IF(INDEX('Lançamento'!$B$6:$M$35,MATCH($A27,'Lançamento'!$A$6:$A$35,0),$B27)="","",INDEX('Lançamento'!$B$6:$M$35,MATCH($A27,'Lançamento'!$A$6:$A$35,0),$B27)),""))</f>
        <v/>
      </c>
      <c r="E27" s="12" t="n"/>
      <c r="F27" s="15">
        <f>IF($A27="","",IF(OR($D27="",$E27=""),"Digitar valor do print",IF(ABS($D27-$E27)&lt;=0.001,"✔ Confere","⚠ Divergente")))</f>
        <v/>
      </c>
      <c r="G27" s="39" t="n"/>
      <c r="H27" s="39" t="n"/>
      <c r="I27" s="41" t="n"/>
      <c r="J27" s="39" t="n"/>
    </row>
    <row r="28">
      <c r="A28" s="38" t="n"/>
      <c r="B28" s="39" t="n"/>
      <c r="C28" s="15">
        <f>IF($A28="","",CHOOSE($B28,"JAN","FEV","MAR","ABR","MAI","JUN","JUL","AGO","SET","OUT","NOV","DEZ"))</f>
        <v/>
      </c>
      <c r="D28" s="40">
        <f>IF($A28="","",IFERROR(IF(INDEX('Lançamento'!$B$6:$M$35,MATCH($A28,'Lançamento'!$A$6:$A$35,0),$B28)="","",INDEX('Lançamento'!$B$6:$M$35,MATCH($A28,'Lançamento'!$A$6:$A$35,0),$B28)),""))</f>
        <v/>
      </c>
      <c r="E28" s="12" t="n"/>
      <c r="F28" s="15">
        <f>IF($A28="","",IF(OR($D28="",$E28=""),"Digitar valor do print",IF(ABS($D28-$E28)&lt;=0.001,"✔ Confere","⚠ Divergente")))</f>
        <v/>
      </c>
      <c r="G28" s="39" t="n"/>
      <c r="H28" s="39" t="n"/>
      <c r="I28" s="41" t="n"/>
      <c r="J28" s="39" t="n"/>
    </row>
    <row r="29">
      <c r="A29" s="38" t="n"/>
      <c r="B29" s="39" t="n"/>
      <c r="C29" s="15">
        <f>IF($A29="","",CHOOSE($B29,"JAN","FEV","MAR","ABR","MAI","JUN","JUL","AGO","SET","OUT","NOV","DEZ"))</f>
        <v/>
      </c>
      <c r="D29" s="40">
        <f>IF($A29="","",IFERROR(IF(INDEX('Lançamento'!$B$6:$M$35,MATCH($A29,'Lançamento'!$A$6:$A$35,0),$B29)="","",INDEX('Lançamento'!$B$6:$M$35,MATCH($A29,'Lançamento'!$A$6:$A$35,0),$B29)),""))</f>
        <v/>
      </c>
      <c r="E29" s="12" t="n"/>
      <c r="F29" s="15">
        <f>IF($A29="","",IF(OR($D29="",$E29=""),"Digitar valor do print",IF(ABS($D29-$E29)&lt;=0.001,"✔ Confere","⚠ Divergente")))</f>
        <v/>
      </c>
      <c r="G29" s="39" t="n"/>
      <c r="H29" s="39" t="n"/>
      <c r="I29" s="41" t="n"/>
      <c r="J29" s="39" t="n"/>
    </row>
    <row r="30">
      <c r="A30" s="38" t="n"/>
      <c r="B30" s="39" t="n"/>
      <c r="C30" s="15">
        <f>IF($A30="","",CHOOSE($B30,"JAN","FEV","MAR","ABR","MAI","JUN","JUL","AGO","SET","OUT","NOV","DEZ"))</f>
        <v/>
      </c>
      <c r="D30" s="40">
        <f>IF($A30="","",IFERROR(IF(INDEX('Lançamento'!$B$6:$M$35,MATCH($A30,'Lançamento'!$A$6:$A$35,0),$B30)="","",INDEX('Lançamento'!$B$6:$M$35,MATCH($A30,'Lançamento'!$A$6:$A$35,0),$B30)),""))</f>
        <v/>
      </c>
      <c r="E30" s="12" t="n"/>
      <c r="F30" s="15">
        <f>IF($A30="","",IF(OR($D30="",$E30=""),"Digitar valor do print",IF(ABS($D30-$E30)&lt;=0.001,"✔ Confere","⚠ Divergente")))</f>
        <v/>
      </c>
      <c r="G30" s="39" t="n"/>
      <c r="H30" s="39" t="n"/>
      <c r="I30" s="41" t="n"/>
      <c r="J30" s="39" t="n"/>
    </row>
    <row r="31">
      <c r="A31" s="38" t="n"/>
      <c r="B31" s="39" t="n"/>
      <c r="C31" s="15">
        <f>IF($A31="","",CHOOSE($B31,"JAN","FEV","MAR","ABR","MAI","JUN","JUL","AGO","SET","OUT","NOV","DEZ"))</f>
        <v/>
      </c>
      <c r="D31" s="40">
        <f>IF($A31="","",IFERROR(IF(INDEX('Lançamento'!$B$6:$M$35,MATCH($A31,'Lançamento'!$A$6:$A$35,0),$B31)="","",INDEX('Lançamento'!$B$6:$M$35,MATCH($A31,'Lançamento'!$A$6:$A$35,0),$B31)),""))</f>
        <v/>
      </c>
      <c r="E31" s="12" t="n"/>
      <c r="F31" s="15">
        <f>IF($A31="","",IF(OR($D31="",$E31=""),"Digitar valor do print",IF(ABS($D31-$E31)&lt;=0.001,"✔ Confere","⚠ Divergente")))</f>
        <v/>
      </c>
      <c r="G31" s="39" t="n"/>
      <c r="H31" s="39" t="n"/>
      <c r="I31" s="41" t="n"/>
      <c r="J31" s="39" t="n"/>
    </row>
    <row r="32">
      <c r="A32" s="38" t="n"/>
      <c r="B32" s="39" t="n"/>
      <c r="C32" s="15">
        <f>IF($A32="","",CHOOSE($B32,"JAN","FEV","MAR","ABR","MAI","JUN","JUL","AGO","SET","OUT","NOV","DEZ"))</f>
        <v/>
      </c>
      <c r="D32" s="40">
        <f>IF($A32="","",IFERROR(IF(INDEX('Lançamento'!$B$6:$M$35,MATCH($A32,'Lançamento'!$A$6:$A$35,0),$B32)="","",INDEX('Lançamento'!$B$6:$M$35,MATCH($A32,'Lançamento'!$A$6:$A$35,0),$B32)),""))</f>
        <v/>
      </c>
      <c r="E32" s="12" t="n"/>
      <c r="F32" s="15">
        <f>IF($A32="","",IF(OR($D32="",$E32=""),"Digitar valor do print",IF(ABS($D32-$E32)&lt;=0.001,"✔ Confere","⚠ Divergente")))</f>
        <v/>
      </c>
      <c r="G32" s="39" t="n"/>
      <c r="H32" s="39" t="n"/>
      <c r="I32" s="41" t="n"/>
      <c r="J32" s="39" t="n"/>
    </row>
    <row r="33">
      <c r="A33" s="38" t="n"/>
      <c r="B33" s="39" t="n"/>
      <c r="C33" s="15">
        <f>IF($A33="","",CHOOSE($B33,"JAN","FEV","MAR","ABR","MAI","JUN","JUL","AGO","SET","OUT","NOV","DEZ"))</f>
        <v/>
      </c>
      <c r="D33" s="40">
        <f>IF($A33="","",IFERROR(IF(INDEX('Lançamento'!$B$6:$M$35,MATCH($A33,'Lançamento'!$A$6:$A$35,0),$B33)="","",INDEX('Lançamento'!$B$6:$M$35,MATCH($A33,'Lançamento'!$A$6:$A$35,0),$B33)),""))</f>
        <v/>
      </c>
      <c r="E33" s="12" t="n"/>
      <c r="F33" s="15">
        <f>IF($A33="","",IF(OR($D33="",$E33=""),"Digitar valor do print",IF(ABS($D33-$E33)&lt;=0.001,"✔ Confere","⚠ Divergente")))</f>
        <v/>
      </c>
      <c r="G33" s="39" t="n"/>
      <c r="H33" s="39" t="n"/>
      <c r="I33" s="41" t="n"/>
      <c r="J33" s="39" t="n"/>
    </row>
    <row r="34">
      <c r="A34" s="38" t="n"/>
      <c r="B34" s="39" t="n"/>
      <c r="C34" s="15">
        <f>IF($A34="","",CHOOSE($B34,"JAN","FEV","MAR","ABR","MAI","JUN","JUL","AGO","SET","OUT","NOV","DEZ"))</f>
        <v/>
      </c>
      <c r="D34" s="40">
        <f>IF($A34="","",IFERROR(IF(INDEX('Lançamento'!$B$6:$M$35,MATCH($A34,'Lançamento'!$A$6:$A$35,0),$B34)="","",INDEX('Lançamento'!$B$6:$M$35,MATCH($A34,'Lançamento'!$A$6:$A$35,0),$B34)),""))</f>
        <v/>
      </c>
      <c r="E34" s="12" t="n"/>
      <c r="F34" s="15">
        <f>IF($A34="","",IF(OR($D34="",$E34=""),"Digitar valor do print",IF(ABS($D34-$E34)&lt;=0.001,"✔ Confere","⚠ Divergente")))</f>
        <v/>
      </c>
      <c r="G34" s="39" t="n"/>
      <c r="H34" s="39" t="n"/>
      <c r="I34" s="41" t="n"/>
      <c r="J34" s="39" t="n"/>
    </row>
    <row r="35">
      <c r="A35" s="38" t="n"/>
      <c r="B35" s="39" t="n"/>
      <c r="C35" s="15">
        <f>IF($A35="","",CHOOSE($B35,"JAN","FEV","MAR","ABR","MAI","JUN","JUL","AGO","SET","OUT","NOV","DEZ"))</f>
        <v/>
      </c>
      <c r="D35" s="40">
        <f>IF($A35="","",IFERROR(IF(INDEX('Lançamento'!$B$6:$M$35,MATCH($A35,'Lançamento'!$A$6:$A$35,0),$B35)="","",INDEX('Lançamento'!$B$6:$M$35,MATCH($A35,'Lançamento'!$A$6:$A$35,0),$B35)),""))</f>
        <v/>
      </c>
      <c r="E35" s="12" t="n"/>
      <c r="F35" s="15">
        <f>IF($A35="","",IF(OR($D35="",$E35=""),"Digitar valor do print",IF(ABS($D35-$E35)&lt;=0.001,"✔ Confere","⚠ Divergente")))</f>
        <v/>
      </c>
      <c r="G35" s="39" t="n"/>
      <c r="H35" s="39" t="n"/>
      <c r="I35" s="41" t="n"/>
      <c r="J35" s="39" t="n"/>
    </row>
    <row r="36">
      <c r="A36" s="38" t="n"/>
      <c r="B36" s="39" t="n"/>
      <c r="C36" s="15">
        <f>IF($A36="","",CHOOSE($B36,"JAN","FEV","MAR","ABR","MAI","JUN","JUL","AGO","SET","OUT","NOV","DEZ"))</f>
        <v/>
      </c>
      <c r="D36" s="40">
        <f>IF($A36="","",IFERROR(IF(INDEX('Lançamento'!$B$6:$M$35,MATCH($A36,'Lançamento'!$A$6:$A$35,0),$B36)="","",INDEX('Lançamento'!$B$6:$M$35,MATCH($A36,'Lançamento'!$A$6:$A$35,0),$B36)),""))</f>
        <v/>
      </c>
      <c r="E36" s="12" t="n"/>
      <c r="F36" s="15">
        <f>IF($A36="","",IF(OR($D36="",$E36=""),"Digitar valor do print",IF(ABS($D36-$E36)&lt;=0.001,"✔ Confere","⚠ Divergente")))</f>
        <v/>
      </c>
      <c r="G36" s="39" t="n"/>
      <c r="H36" s="39" t="n"/>
      <c r="I36" s="41" t="n"/>
      <c r="J36" s="39" t="n"/>
    </row>
    <row r="37">
      <c r="A37" s="38" t="n"/>
      <c r="B37" s="39" t="n"/>
      <c r="C37" s="15">
        <f>IF($A37="","",CHOOSE($B37,"JAN","FEV","MAR","ABR","MAI","JUN","JUL","AGO","SET","OUT","NOV","DEZ"))</f>
        <v/>
      </c>
      <c r="D37" s="40">
        <f>IF($A37="","",IFERROR(IF(INDEX('Lançamento'!$B$6:$M$35,MATCH($A37,'Lançamento'!$A$6:$A$35,0),$B37)="","",INDEX('Lançamento'!$B$6:$M$35,MATCH($A37,'Lançamento'!$A$6:$A$35,0),$B37)),""))</f>
        <v/>
      </c>
      <c r="E37" s="12" t="n"/>
      <c r="F37" s="15">
        <f>IF($A37="","",IF(OR($D37="",$E37=""),"Digitar valor do print",IF(ABS($D37-$E37)&lt;=0.001,"✔ Confere","⚠ Divergente")))</f>
        <v/>
      </c>
      <c r="G37" s="39" t="n"/>
      <c r="H37" s="39" t="n"/>
      <c r="I37" s="41" t="n"/>
      <c r="J37" s="39" t="n"/>
    </row>
    <row r="38">
      <c r="A38" s="38" t="n"/>
      <c r="B38" s="39" t="n"/>
      <c r="C38" s="15">
        <f>IF($A38="","",CHOOSE($B38,"JAN","FEV","MAR","ABR","MAI","JUN","JUL","AGO","SET","OUT","NOV","DEZ"))</f>
        <v/>
      </c>
      <c r="D38" s="40">
        <f>IF($A38="","",IFERROR(IF(INDEX('Lançamento'!$B$6:$M$35,MATCH($A38,'Lançamento'!$A$6:$A$35,0),$B38)="","",INDEX('Lançamento'!$B$6:$M$35,MATCH($A38,'Lançamento'!$A$6:$A$35,0),$B38)),""))</f>
        <v/>
      </c>
      <c r="E38" s="12" t="n"/>
      <c r="F38" s="15">
        <f>IF($A38="","",IF(OR($D38="",$E38=""),"Digitar valor do print",IF(ABS($D38-$E38)&lt;=0.001,"✔ Confere","⚠ Divergente")))</f>
        <v/>
      </c>
      <c r="G38" s="39" t="n"/>
      <c r="H38" s="39" t="n"/>
      <c r="I38" s="41" t="n"/>
      <c r="J38" s="39" t="n"/>
    </row>
    <row r="39">
      <c r="A39" s="38" t="n"/>
      <c r="B39" s="39" t="n"/>
      <c r="C39" s="15">
        <f>IF($A39="","",CHOOSE($B39,"JAN","FEV","MAR","ABR","MAI","JUN","JUL","AGO","SET","OUT","NOV","DEZ"))</f>
        <v/>
      </c>
      <c r="D39" s="40">
        <f>IF($A39="","",IFERROR(IF(INDEX('Lançamento'!$B$6:$M$35,MATCH($A39,'Lançamento'!$A$6:$A$35,0),$B39)="","",INDEX('Lançamento'!$B$6:$M$35,MATCH($A39,'Lançamento'!$A$6:$A$35,0),$B39)),""))</f>
        <v/>
      </c>
      <c r="E39" s="12" t="n"/>
      <c r="F39" s="15">
        <f>IF($A39="","",IF(OR($D39="",$E39=""),"Digitar valor do print",IF(ABS($D39-$E39)&lt;=0.001,"✔ Confere","⚠ Divergente")))</f>
        <v/>
      </c>
      <c r="G39" s="39" t="n"/>
      <c r="H39" s="39" t="n"/>
      <c r="I39" s="41" t="n"/>
      <c r="J39" s="39" t="n"/>
    </row>
    <row r="40">
      <c r="A40" s="38" t="n"/>
      <c r="B40" s="39" t="n"/>
      <c r="C40" s="15">
        <f>IF($A40="","",CHOOSE($B40,"JAN","FEV","MAR","ABR","MAI","JUN","JUL","AGO","SET","OUT","NOV","DEZ"))</f>
        <v/>
      </c>
      <c r="D40" s="40">
        <f>IF($A40="","",IFERROR(IF(INDEX('Lançamento'!$B$6:$M$35,MATCH($A40,'Lançamento'!$A$6:$A$35,0),$B40)="","",INDEX('Lançamento'!$B$6:$M$35,MATCH($A40,'Lançamento'!$A$6:$A$35,0),$B40)),""))</f>
        <v/>
      </c>
      <c r="E40" s="12" t="n"/>
      <c r="F40" s="15">
        <f>IF($A40="","",IF(OR($D40="",$E40=""),"Digitar valor do print",IF(ABS($D40-$E40)&lt;=0.001,"✔ Confere","⚠ Divergente")))</f>
        <v/>
      </c>
      <c r="G40" s="39" t="n"/>
      <c r="H40" s="39" t="n"/>
      <c r="I40" s="41" t="n"/>
      <c r="J40" s="39" t="n"/>
    </row>
    <row r="41">
      <c r="A41" s="38" t="n"/>
      <c r="B41" s="39" t="n"/>
      <c r="C41" s="15">
        <f>IF($A41="","",CHOOSE($B41,"JAN","FEV","MAR","ABR","MAI","JUN","JUL","AGO","SET","OUT","NOV","DEZ"))</f>
        <v/>
      </c>
      <c r="D41" s="40">
        <f>IF($A41="","",IFERROR(IF(INDEX('Lançamento'!$B$6:$M$35,MATCH($A41,'Lançamento'!$A$6:$A$35,0),$B41)="","",INDEX('Lançamento'!$B$6:$M$35,MATCH($A41,'Lançamento'!$A$6:$A$35,0),$B41)),""))</f>
        <v/>
      </c>
      <c r="E41" s="12" t="n"/>
      <c r="F41" s="15">
        <f>IF($A41="","",IF(OR($D41="",$E41=""),"Digitar valor do print",IF(ABS($D41-$E41)&lt;=0.001,"✔ Confere","⚠ Divergente")))</f>
        <v/>
      </c>
      <c r="G41" s="39" t="n"/>
      <c r="H41" s="39" t="n"/>
      <c r="I41" s="41" t="n"/>
      <c r="J41" s="39" t="n"/>
    </row>
    <row r="42">
      <c r="A42" s="38" t="n"/>
      <c r="B42" s="39" t="n"/>
      <c r="C42" s="15">
        <f>IF($A42="","",CHOOSE($B42,"JAN","FEV","MAR","ABR","MAI","JUN","JUL","AGO","SET","OUT","NOV","DEZ"))</f>
        <v/>
      </c>
      <c r="D42" s="40">
        <f>IF($A42="","",IFERROR(IF(INDEX('Lançamento'!$B$6:$M$35,MATCH($A42,'Lançamento'!$A$6:$A$35,0),$B42)="","",INDEX('Lançamento'!$B$6:$M$35,MATCH($A42,'Lançamento'!$A$6:$A$35,0),$B42)),""))</f>
        <v/>
      </c>
      <c r="E42" s="12" t="n"/>
      <c r="F42" s="15">
        <f>IF($A42="","",IF(OR($D42="",$E42=""),"Digitar valor do print",IF(ABS($D42-$E42)&lt;=0.001,"✔ Confere","⚠ Divergente")))</f>
        <v/>
      </c>
      <c r="G42" s="39" t="n"/>
      <c r="H42" s="39" t="n"/>
      <c r="I42" s="41" t="n"/>
      <c r="J42" s="39" t="n"/>
    </row>
    <row r="43">
      <c r="A43" s="38" t="n"/>
      <c r="B43" s="39" t="n"/>
      <c r="C43" s="15">
        <f>IF($A43="","",CHOOSE($B43,"JAN","FEV","MAR","ABR","MAI","JUN","JUL","AGO","SET","OUT","NOV","DEZ"))</f>
        <v/>
      </c>
      <c r="D43" s="40">
        <f>IF($A43="","",IFERROR(IF(INDEX('Lançamento'!$B$6:$M$35,MATCH($A43,'Lançamento'!$A$6:$A$35,0),$B43)="","",INDEX('Lançamento'!$B$6:$M$35,MATCH($A43,'Lançamento'!$A$6:$A$35,0),$B43)),""))</f>
        <v/>
      </c>
      <c r="E43" s="12" t="n"/>
      <c r="F43" s="15">
        <f>IF($A43="","",IF(OR($D43="",$E43=""),"Digitar valor do print",IF(ABS($D43-$E43)&lt;=0.001,"✔ Confere","⚠ Divergente")))</f>
        <v/>
      </c>
      <c r="G43" s="39" t="n"/>
      <c r="H43" s="39" t="n"/>
      <c r="I43" s="41" t="n"/>
      <c r="J43" s="39" t="n"/>
    </row>
    <row r="44">
      <c r="A44" s="38" t="n"/>
      <c r="B44" s="39" t="n"/>
      <c r="C44" s="15">
        <f>IF($A44="","",CHOOSE($B44,"JAN","FEV","MAR","ABR","MAI","JUN","JUL","AGO","SET","OUT","NOV","DEZ"))</f>
        <v/>
      </c>
      <c r="D44" s="40">
        <f>IF($A44="","",IFERROR(IF(INDEX('Lançamento'!$B$6:$M$35,MATCH($A44,'Lançamento'!$A$6:$A$35,0),$B44)="","",INDEX('Lançamento'!$B$6:$M$35,MATCH($A44,'Lançamento'!$A$6:$A$35,0),$B44)),""))</f>
        <v/>
      </c>
      <c r="E44" s="12" t="n"/>
      <c r="F44" s="15">
        <f>IF($A44="","",IF(OR($D44="",$E44=""),"Digitar valor do print",IF(ABS($D44-$E44)&lt;=0.001,"✔ Confere","⚠ Divergente")))</f>
        <v/>
      </c>
      <c r="G44" s="39" t="n"/>
      <c r="H44" s="39" t="n"/>
      <c r="I44" s="41" t="n"/>
      <c r="J44" s="39" t="n"/>
    </row>
    <row r="45">
      <c r="A45" s="38" t="n"/>
      <c r="B45" s="39" t="n"/>
      <c r="C45" s="15">
        <f>IF($A45="","",CHOOSE($B45,"JAN","FEV","MAR","ABR","MAI","JUN","JUL","AGO","SET","OUT","NOV","DEZ"))</f>
        <v/>
      </c>
      <c r="D45" s="40">
        <f>IF($A45="","",IFERROR(IF(INDEX('Lançamento'!$B$6:$M$35,MATCH($A45,'Lançamento'!$A$6:$A$35,0),$B45)="","",INDEX('Lançamento'!$B$6:$M$35,MATCH($A45,'Lançamento'!$A$6:$A$35,0),$B45)),""))</f>
        <v/>
      </c>
      <c r="E45" s="12" t="n"/>
      <c r="F45" s="15">
        <f>IF($A45="","",IF(OR($D45="",$E45=""),"Digitar valor do print",IF(ABS($D45-$E45)&lt;=0.001,"✔ Confere","⚠ Divergente")))</f>
        <v/>
      </c>
      <c r="G45" s="39" t="n"/>
      <c r="H45" s="39" t="n"/>
      <c r="I45" s="41" t="n"/>
      <c r="J45" s="39" t="n"/>
    </row>
    <row r="46">
      <c r="A46" s="38" t="n"/>
      <c r="B46" s="39" t="n"/>
      <c r="C46" s="15">
        <f>IF($A46="","",CHOOSE($B46,"JAN","FEV","MAR","ABR","MAI","JUN","JUL","AGO","SET","OUT","NOV","DEZ"))</f>
        <v/>
      </c>
      <c r="D46" s="40">
        <f>IF($A46="","",IFERROR(IF(INDEX('Lançamento'!$B$6:$M$35,MATCH($A46,'Lançamento'!$A$6:$A$35,0),$B46)="","",INDEX('Lançamento'!$B$6:$M$35,MATCH($A46,'Lançamento'!$A$6:$A$35,0),$B46)),""))</f>
        <v/>
      </c>
      <c r="E46" s="12" t="n"/>
      <c r="F46" s="15">
        <f>IF($A46="","",IF(OR($D46="",$E46=""),"Digitar valor do print",IF(ABS($D46-$E46)&lt;=0.001,"✔ Confere","⚠ Divergente")))</f>
        <v/>
      </c>
      <c r="G46" s="39" t="n"/>
      <c r="H46" s="39" t="n"/>
      <c r="I46" s="41" t="n"/>
      <c r="J46" s="39" t="n"/>
    </row>
    <row r="47">
      <c r="A47" s="38" t="n"/>
      <c r="B47" s="39" t="n"/>
      <c r="C47" s="15">
        <f>IF($A47="","",CHOOSE($B47,"JAN","FEV","MAR","ABR","MAI","JUN","JUL","AGO","SET","OUT","NOV","DEZ"))</f>
        <v/>
      </c>
      <c r="D47" s="40">
        <f>IF($A47="","",IFERROR(IF(INDEX('Lançamento'!$B$6:$M$35,MATCH($A47,'Lançamento'!$A$6:$A$35,0),$B47)="","",INDEX('Lançamento'!$B$6:$M$35,MATCH($A47,'Lançamento'!$A$6:$A$35,0),$B47)),""))</f>
        <v/>
      </c>
      <c r="E47" s="12" t="n"/>
      <c r="F47" s="15">
        <f>IF($A47="","",IF(OR($D47="",$E47=""),"Digitar valor do print",IF(ABS($D47-$E47)&lt;=0.001,"✔ Confere","⚠ Divergente")))</f>
        <v/>
      </c>
      <c r="G47" s="39" t="n"/>
      <c r="H47" s="39" t="n"/>
      <c r="I47" s="41" t="n"/>
      <c r="J47" s="39" t="n"/>
    </row>
    <row r="48">
      <c r="A48" s="38" t="n"/>
      <c r="B48" s="39" t="n"/>
      <c r="C48" s="15">
        <f>IF($A48="","",CHOOSE($B48,"JAN","FEV","MAR","ABR","MAI","JUN","JUL","AGO","SET","OUT","NOV","DEZ"))</f>
        <v/>
      </c>
      <c r="D48" s="40">
        <f>IF($A48="","",IFERROR(IF(INDEX('Lançamento'!$B$6:$M$35,MATCH($A48,'Lançamento'!$A$6:$A$35,0),$B48)="","",INDEX('Lançamento'!$B$6:$M$35,MATCH($A48,'Lançamento'!$A$6:$A$35,0),$B48)),""))</f>
        <v/>
      </c>
      <c r="E48" s="12" t="n"/>
      <c r="F48" s="15">
        <f>IF($A48="","",IF(OR($D48="",$E48=""),"Digitar valor do print",IF(ABS($D48-$E48)&lt;=0.001,"✔ Confere","⚠ Divergente")))</f>
        <v/>
      </c>
      <c r="G48" s="39" t="n"/>
      <c r="H48" s="39" t="n"/>
      <c r="I48" s="41" t="n"/>
      <c r="J48" s="39" t="n"/>
    </row>
    <row r="49">
      <c r="A49" s="38" t="n"/>
      <c r="B49" s="39" t="n"/>
      <c r="C49" s="15">
        <f>IF($A49="","",CHOOSE($B49,"JAN","FEV","MAR","ABR","MAI","JUN","JUL","AGO","SET","OUT","NOV","DEZ"))</f>
        <v/>
      </c>
      <c r="D49" s="40">
        <f>IF($A49="","",IFERROR(IF(INDEX('Lançamento'!$B$6:$M$35,MATCH($A49,'Lançamento'!$A$6:$A$35,0),$B49)="","",INDEX('Lançamento'!$B$6:$M$35,MATCH($A49,'Lançamento'!$A$6:$A$35,0),$B49)),""))</f>
        <v/>
      </c>
      <c r="E49" s="12" t="n"/>
      <c r="F49" s="15">
        <f>IF($A49="","",IF(OR($D49="",$E49=""),"Digitar valor do print",IF(ABS($D49-$E49)&lt;=0.001,"✔ Confere","⚠ Divergente")))</f>
        <v/>
      </c>
      <c r="G49" s="39" t="n"/>
      <c r="H49" s="39" t="n"/>
      <c r="I49" s="41" t="n"/>
      <c r="J49" s="39" t="n"/>
    </row>
    <row r="50">
      <c r="A50" s="38" t="n"/>
      <c r="B50" s="39" t="n"/>
      <c r="C50" s="15">
        <f>IF($A50="","",CHOOSE($B50,"JAN","FEV","MAR","ABR","MAI","JUN","JUL","AGO","SET","OUT","NOV","DEZ"))</f>
        <v/>
      </c>
      <c r="D50" s="40">
        <f>IF($A50="","",IFERROR(IF(INDEX('Lançamento'!$B$6:$M$35,MATCH($A50,'Lançamento'!$A$6:$A$35,0),$B50)="","",INDEX('Lançamento'!$B$6:$M$35,MATCH($A50,'Lançamento'!$A$6:$A$35,0),$B50)),""))</f>
        <v/>
      </c>
      <c r="E50" s="12" t="n"/>
      <c r="F50" s="15">
        <f>IF($A50="","",IF(OR($D50="",$E50=""),"Digitar valor do print",IF(ABS($D50-$E50)&lt;=0.001,"✔ Confere","⚠ Divergente")))</f>
        <v/>
      </c>
      <c r="G50" s="39" t="n"/>
      <c r="H50" s="39" t="n"/>
      <c r="I50" s="41" t="n"/>
      <c r="J50" s="39" t="n"/>
    </row>
    <row r="51">
      <c r="A51" s="38" t="n"/>
      <c r="B51" s="39" t="n"/>
      <c r="C51" s="15">
        <f>IF($A51="","",CHOOSE($B51,"JAN","FEV","MAR","ABR","MAI","JUN","JUL","AGO","SET","OUT","NOV","DEZ"))</f>
        <v/>
      </c>
      <c r="D51" s="40">
        <f>IF($A51="","",IFERROR(IF(INDEX('Lançamento'!$B$6:$M$35,MATCH($A51,'Lançamento'!$A$6:$A$35,0),$B51)="","",INDEX('Lançamento'!$B$6:$M$35,MATCH($A51,'Lançamento'!$A$6:$A$35,0),$B51)),""))</f>
        <v/>
      </c>
      <c r="E51" s="12" t="n"/>
      <c r="F51" s="15">
        <f>IF($A51="","",IF(OR($D51="",$E51=""),"Digitar valor do print",IF(ABS($D51-$E51)&lt;=0.001,"✔ Confere","⚠ Divergente")))</f>
        <v/>
      </c>
      <c r="G51" s="39" t="n"/>
      <c r="H51" s="39" t="n"/>
      <c r="I51" s="41" t="n"/>
      <c r="J51" s="39" t="n"/>
    </row>
    <row r="52">
      <c r="A52" s="38" t="n"/>
      <c r="B52" s="39" t="n"/>
      <c r="C52" s="15">
        <f>IF($A52="","",CHOOSE($B52,"JAN","FEV","MAR","ABR","MAI","JUN","JUL","AGO","SET","OUT","NOV","DEZ"))</f>
        <v/>
      </c>
      <c r="D52" s="40">
        <f>IF($A52="","",IFERROR(IF(INDEX('Lançamento'!$B$6:$M$35,MATCH($A52,'Lançamento'!$A$6:$A$35,0),$B52)="","",INDEX('Lançamento'!$B$6:$M$35,MATCH($A52,'Lançamento'!$A$6:$A$35,0),$B52)),""))</f>
        <v/>
      </c>
      <c r="E52" s="12" t="n"/>
      <c r="F52" s="15">
        <f>IF($A52="","",IF(OR($D52="",$E52=""),"Digitar valor do print",IF(ABS($D52-$E52)&lt;=0.001,"✔ Confere","⚠ Divergente")))</f>
        <v/>
      </c>
      <c r="G52" s="39" t="n"/>
      <c r="H52" s="39" t="n"/>
      <c r="I52" s="41" t="n"/>
      <c r="J52" s="39" t="n"/>
    </row>
    <row r="53">
      <c r="A53" s="38" t="n"/>
      <c r="B53" s="39" t="n"/>
      <c r="C53" s="15">
        <f>IF($A53="","",CHOOSE($B53,"JAN","FEV","MAR","ABR","MAI","JUN","JUL","AGO","SET","OUT","NOV","DEZ"))</f>
        <v/>
      </c>
      <c r="D53" s="40">
        <f>IF($A53="","",IFERROR(IF(INDEX('Lançamento'!$B$6:$M$35,MATCH($A53,'Lançamento'!$A$6:$A$35,0),$B53)="","",INDEX('Lançamento'!$B$6:$M$35,MATCH($A53,'Lançamento'!$A$6:$A$35,0),$B53)),""))</f>
        <v/>
      </c>
      <c r="E53" s="12" t="n"/>
      <c r="F53" s="15">
        <f>IF($A53="","",IF(OR($D53="",$E53=""),"Digitar valor do print",IF(ABS($D53-$E53)&lt;=0.001,"✔ Confere","⚠ Divergente")))</f>
        <v/>
      </c>
      <c r="G53" s="39" t="n"/>
      <c r="H53" s="39" t="n"/>
      <c r="I53" s="41" t="n"/>
      <c r="J53" s="39" t="n"/>
    </row>
    <row r="54">
      <c r="A54" s="38" t="n"/>
      <c r="B54" s="39" t="n"/>
      <c r="C54" s="15">
        <f>IF($A54="","",CHOOSE($B54,"JAN","FEV","MAR","ABR","MAI","JUN","JUL","AGO","SET","OUT","NOV","DEZ"))</f>
        <v/>
      </c>
      <c r="D54" s="40">
        <f>IF($A54="","",IFERROR(IF(INDEX('Lançamento'!$B$6:$M$35,MATCH($A54,'Lançamento'!$A$6:$A$35,0),$B54)="","",INDEX('Lançamento'!$B$6:$M$35,MATCH($A54,'Lançamento'!$A$6:$A$35,0),$B54)),""))</f>
        <v/>
      </c>
      <c r="E54" s="12" t="n"/>
      <c r="F54" s="15">
        <f>IF($A54="","",IF(OR($D54="",$E54=""),"Digitar valor do print",IF(ABS($D54-$E54)&lt;=0.001,"✔ Confere","⚠ Divergente")))</f>
        <v/>
      </c>
      <c r="G54" s="39" t="n"/>
      <c r="H54" s="39" t="n"/>
      <c r="I54" s="41" t="n"/>
      <c r="J54" s="39" t="n"/>
    </row>
    <row r="55">
      <c r="A55" s="38" t="n"/>
      <c r="B55" s="39" t="n"/>
      <c r="C55" s="15">
        <f>IF($A55="","",CHOOSE($B55,"JAN","FEV","MAR","ABR","MAI","JUN","JUL","AGO","SET","OUT","NOV","DEZ"))</f>
        <v/>
      </c>
      <c r="D55" s="40">
        <f>IF($A55="","",IFERROR(IF(INDEX('Lançamento'!$B$6:$M$35,MATCH($A55,'Lançamento'!$A$6:$A$35,0),$B55)="","",INDEX('Lançamento'!$B$6:$M$35,MATCH($A55,'Lançamento'!$A$6:$A$35,0),$B55)),""))</f>
        <v/>
      </c>
      <c r="E55" s="12" t="n"/>
      <c r="F55" s="15">
        <f>IF($A55="","",IF(OR($D55="",$E55=""),"Digitar valor do print",IF(ABS($D55-$E55)&lt;=0.001,"✔ Confere","⚠ Divergente")))</f>
        <v/>
      </c>
      <c r="G55" s="39" t="n"/>
      <c r="H55" s="39" t="n"/>
      <c r="I55" s="41" t="n"/>
      <c r="J55" s="39" t="n"/>
    </row>
    <row r="56">
      <c r="A56" s="38" t="n"/>
      <c r="B56" s="39" t="n"/>
      <c r="C56" s="15">
        <f>IF($A56="","",CHOOSE($B56,"JAN","FEV","MAR","ABR","MAI","JUN","JUL","AGO","SET","OUT","NOV","DEZ"))</f>
        <v/>
      </c>
      <c r="D56" s="40">
        <f>IF($A56="","",IFERROR(IF(INDEX('Lançamento'!$B$6:$M$35,MATCH($A56,'Lançamento'!$A$6:$A$35,0),$B56)="","",INDEX('Lançamento'!$B$6:$M$35,MATCH($A56,'Lançamento'!$A$6:$A$35,0),$B56)),""))</f>
        <v/>
      </c>
      <c r="E56" s="12" t="n"/>
      <c r="F56" s="15">
        <f>IF($A56="","",IF(OR($D56="",$E56=""),"Digitar valor do print",IF(ABS($D56-$E56)&lt;=0.001,"✔ Confere","⚠ Divergente")))</f>
        <v/>
      </c>
      <c r="G56" s="39" t="n"/>
      <c r="H56" s="39" t="n"/>
      <c r="I56" s="41" t="n"/>
      <c r="J56" s="39" t="n"/>
    </row>
    <row r="57">
      <c r="A57" s="38" t="n"/>
      <c r="B57" s="39" t="n"/>
      <c r="C57" s="15">
        <f>IF($A57="","",CHOOSE($B57,"JAN","FEV","MAR","ABR","MAI","JUN","JUL","AGO","SET","OUT","NOV","DEZ"))</f>
        <v/>
      </c>
      <c r="D57" s="40">
        <f>IF($A57="","",IFERROR(IF(INDEX('Lançamento'!$B$6:$M$35,MATCH($A57,'Lançamento'!$A$6:$A$35,0),$B57)="","",INDEX('Lançamento'!$B$6:$M$35,MATCH($A57,'Lançamento'!$A$6:$A$35,0),$B57)),""))</f>
        <v/>
      </c>
      <c r="E57" s="12" t="n"/>
      <c r="F57" s="15">
        <f>IF($A57="","",IF(OR($D57="",$E57=""),"Digitar valor do print",IF(ABS($D57-$E57)&lt;=0.001,"✔ Confere","⚠ Divergente")))</f>
        <v/>
      </c>
      <c r="G57" s="39" t="n"/>
      <c r="H57" s="39" t="n"/>
      <c r="I57" s="41" t="n"/>
      <c r="J57" s="39" t="n"/>
    </row>
    <row r="58">
      <c r="A58" s="38" t="n"/>
      <c r="B58" s="39" t="n"/>
      <c r="C58" s="15">
        <f>IF($A58="","",CHOOSE($B58,"JAN","FEV","MAR","ABR","MAI","JUN","JUL","AGO","SET","OUT","NOV","DEZ"))</f>
        <v/>
      </c>
      <c r="D58" s="40">
        <f>IF($A58="","",IFERROR(IF(INDEX('Lançamento'!$B$6:$M$35,MATCH($A58,'Lançamento'!$A$6:$A$35,0),$B58)="","",INDEX('Lançamento'!$B$6:$M$35,MATCH($A58,'Lançamento'!$A$6:$A$35,0),$B58)),""))</f>
        <v/>
      </c>
      <c r="E58" s="12" t="n"/>
      <c r="F58" s="15">
        <f>IF($A58="","",IF(OR($D58="",$E58=""),"Digitar valor do print",IF(ABS($D58-$E58)&lt;=0.001,"✔ Confere","⚠ Divergente")))</f>
        <v/>
      </c>
      <c r="G58" s="39" t="n"/>
      <c r="H58" s="39" t="n"/>
      <c r="I58" s="41" t="n"/>
      <c r="J58" s="39" t="n"/>
    </row>
    <row r="59">
      <c r="A59" s="38" t="n"/>
      <c r="B59" s="39" t="n"/>
      <c r="C59" s="15">
        <f>IF($A59="","",CHOOSE($B59,"JAN","FEV","MAR","ABR","MAI","JUN","JUL","AGO","SET","OUT","NOV","DEZ"))</f>
        <v/>
      </c>
      <c r="D59" s="40">
        <f>IF($A59="","",IFERROR(IF(INDEX('Lançamento'!$B$6:$M$35,MATCH($A59,'Lançamento'!$A$6:$A$35,0),$B59)="","",INDEX('Lançamento'!$B$6:$M$35,MATCH($A59,'Lançamento'!$A$6:$A$35,0),$B59)),""))</f>
        <v/>
      </c>
      <c r="E59" s="12" t="n"/>
      <c r="F59" s="15">
        <f>IF($A59="","",IF(OR($D59="",$E59=""),"Digitar valor do print",IF(ABS($D59-$E59)&lt;=0.001,"✔ Confere","⚠ Divergente")))</f>
        <v/>
      </c>
      <c r="G59" s="39" t="n"/>
      <c r="H59" s="39" t="n"/>
      <c r="I59" s="41" t="n"/>
      <c r="J59" s="39" t="n"/>
    </row>
    <row r="60">
      <c r="A60" s="38" t="n"/>
      <c r="B60" s="39" t="n"/>
      <c r="C60" s="15">
        <f>IF($A60="","",CHOOSE($B60,"JAN","FEV","MAR","ABR","MAI","JUN","JUL","AGO","SET","OUT","NOV","DEZ"))</f>
        <v/>
      </c>
      <c r="D60" s="40">
        <f>IF($A60="","",IFERROR(IF(INDEX('Lançamento'!$B$6:$M$35,MATCH($A60,'Lançamento'!$A$6:$A$35,0),$B60)="","",INDEX('Lançamento'!$B$6:$M$35,MATCH($A60,'Lançamento'!$A$6:$A$35,0),$B60)),""))</f>
        <v/>
      </c>
      <c r="E60" s="12" t="n"/>
      <c r="F60" s="15">
        <f>IF($A60="","",IF(OR($D60="",$E60=""),"Digitar valor do print",IF(ABS($D60-$E60)&lt;=0.001,"✔ Confere","⚠ Divergente")))</f>
        <v/>
      </c>
      <c r="G60" s="39" t="n"/>
      <c r="H60" s="39" t="n"/>
      <c r="I60" s="41" t="n"/>
      <c r="J60" s="39" t="n"/>
    </row>
    <row r="61">
      <c r="A61" s="38" t="n"/>
      <c r="B61" s="39" t="n"/>
      <c r="C61" s="15">
        <f>IF($A61="","",CHOOSE($B61,"JAN","FEV","MAR","ABR","MAI","JUN","JUL","AGO","SET","OUT","NOV","DEZ"))</f>
        <v/>
      </c>
      <c r="D61" s="40">
        <f>IF($A61="","",IFERROR(IF(INDEX('Lançamento'!$B$6:$M$35,MATCH($A61,'Lançamento'!$A$6:$A$35,0),$B61)="","",INDEX('Lançamento'!$B$6:$M$35,MATCH($A61,'Lançamento'!$A$6:$A$35,0),$B61)),""))</f>
        <v/>
      </c>
      <c r="E61" s="12" t="n"/>
      <c r="F61" s="15">
        <f>IF($A61="","",IF(OR($D61="",$E61=""),"Digitar valor do print",IF(ABS($D61-$E61)&lt;=0.001,"✔ Confere","⚠ Divergente")))</f>
        <v/>
      </c>
      <c r="G61" s="39" t="n"/>
      <c r="H61" s="39" t="n"/>
      <c r="I61" s="41" t="n"/>
      <c r="J61" s="39" t="n"/>
    </row>
    <row r="62">
      <c r="A62" s="38" t="n"/>
      <c r="B62" s="39" t="n"/>
      <c r="C62" s="15">
        <f>IF($A62="","",CHOOSE($B62,"JAN","FEV","MAR","ABR","MAI","JUN","JUL","AGO","SET","OUT","NOV","DEZ"))</f>
        <v/>
      </c>
      <c r="D62" s="40">
        <f>IF($A62="","",IFERROR(IF(INDEX('Lançamento'!$B$6:$M$35,MATCH($A62,'Lançamento'!$A$6:$A$35,0),$B62)="","",INDEX('Lançamento'!$B$6:$M$35,MATCH($A62,'Lançamento'!$A$6:$A$35,0),$B62)),""))</f>
        <v/>
      </c>
      <c r="E62" s="12" t="n"/>
      <c r="F62" s="15">
        <f>IF($A62="","",IF(OR($D62="",$E62=""),"Digitar valor do print",IF(ABS($D62-$E62)&lt;=0.001,"✔ Confere","⚠ Divergente")))</f>
        <v/>
      </c>
      <c r="G62" s="39" t="n"/>
      <c r="H62" s="39" t="n"/>
      <c r="I62" s="41" t="n"/>
      <c r="J62" s="39" t="n"/>
    </row>
    <row r="63">
      <c r="A63" s="38" t="n"/>
      <c r="B63" s="39" t="n"/>
      <c r="C63" s="15">
        <f>IF($A63="","",CHOOSE($B63,"JAN","FEV","MAR","ABR","MAI","JUN","JUL","AGO","SET","OUT","NOV","DEZ"))</f>
        <v/>
      </c>
      <c r="D63" s="40">
        <f>IF($A63="","",IFERROR(IF(INDEX('Lançamento'!$B$6:$M$35,MATCH($A63,'Lançamento'!$A$6:$A$35,0),$B63)="","",INDEX('Lançamento'!$B$6:$M$35,MATCH($A63,'Lançamento'!$A$6:$A$35,0),$B63)),""))</f>
        <v/>
      </c>
      <c r="E63" s="12" t="n"/>
      <c r="F63" s="15">
        <f>IF($A63="","",IF(OR($D63="",$E63=""),"Digitar valor do print",IF(ABS($D63-$E63)&lt;=0.001,"✔ Confere","⚠ Divergente")))</f>
        <v/>
      </c>
      <c r="G63" s="39" t="n"/>
      <c r="H63" s="39" t="n"/>
      <c r="I63" s="41" t="n"/>
      <c r="J63" s="39" t="n"/>
    </row>
    <row r="64">
      <c r="A64" s="38" t="n"/>
      <c r="B64" s="39" t="n"/>
      <c r="C64" s="15">
        <f>IF($A64="","",CHOOSE($B64,"JAN","FEV","MAR","ABR","MAI","JUN","JUL","AGO","SET","OUT","NOV","DEZ"))</f>
        <v/>
      </c>
      <c r="D64" s="40">
        <f>IF($A64="","",IFERROR(IF(INDEX('Lançamento'!$B$6:$M$35,MATCH($A64,'Lançamento'!$A$6:$A$35,0),$B64)="","",INDEX('Lançamento'!$B$6:$M$35,MATCH($A64,'Lançamento'!$A$6:$A$35,0),$B64)),""))</f>
        <v/>
      </c>
      <c r="E64" s="12" t="n"/>
      <c r="F64" s="15">
        <f>IF($A64="","",IF(OR($D64="",$E64=""),"Digitar valor do print",IF(ABS($D64-$E64)&lt;=0.001,"✔ Confere","⚠ Divergente")))</f>
        <v/>
      </c>
      <c r="G64" s="39" t="n"/>
      <c r="H64" s="39" t="n"/>
      <c r="I64" s="41" t="n"/>
      <c r="J64" s="39" t="n"/>
    </row>
    <row r="65">
      <c r="A65" s="38" t="n"/>
      <c r="B65" s="39" t="n"/>
      <c r="C65" s="15">
        <f>IF($A65="","",CHOOSE($B65,"JAN","FEV","MAR","ABR","MAI","JUN","JUL","AGO","SET","OUT","NOV","DEZ"))</f>
        <v/>
      </c>
      <c r="D65" s="40">
        <f>IF($A65="","",IFERROR(IF(INDEX('Lançamento'!$B$6:$M$35,MATCH($A65,'Lançamento'!$A$6:$A$35,0),$B65)="","",INDEX('Lançamento'!$B$6:$M$35,MATCH($A65,'Lançamento'!$A$6:$A$35,0),$B65)),""))</f>
        <v/>
      </c>
      <c r="E65" s="12" t="n"/>
      <c r="F65" s="15">
        <f>IF($A65="","",IF(OR($D65="",$E65=""),"Digitar valor do print",IF(ABS($D65-$E65)&lt;=0.001,"✔ Confere","⚠ Divergente")))</f>
        <v/>
      </c>
      <c r="G65" s="39" t="n"/>
      <c r="H65" s="39" t="n"/>
      <c r="I65" s="41" t="n"/>
      <c r="J65" s="39" t="n"/>
    </row>
    <row r="66">
      <c r="A66" s="38" t="n"/>
      <c r="B66" s="39" t="n"/>
      <c r="C66" s="15">
        <f>IF($A66="","",CHOOSE($B66,"JAN","FEV","MAR","ABR","MAI","JUN","JUL","AGO","SET","OUT","NOV","DEZ"))</f>
        <v/>
      </c>
      <c r="D66" s="40">
        <f>IF($A66="","",IFERROR(IF(INDEX('Lançamento'!$B$6:$M$35,MATCH($A66,'Lançamento'!$A$6:$A$35,0),$B66)="","",INDEX('Lançamento'!$B$6:$M$35,MATCH($A66,'Lançamento'!$A$6:$A$35,0),$B66)),""))</f>
        <v/>
      </c>
      <c r="E66" s="12" t="n"/>
      <c r="F66" s="15">
        <f>IF($A66="","",IF(OR($D66="",$E66=""),"Digitar valor do print",IF(ABS($D66-$E66)&lt;=0.001,"✔ Confere","⚠ Divergente")))</f>
        <v/>
      </c>
      <c r="G66" s="39" t="n"/>
      <c r="H66" s="39" t="n"/>
      <c r="I66" s="41" t="n"/>
      <c r="J66" s="39" t="n"/>
    </row>
    <row r="67">
      <c r="A67" s="38" t="n"/>
      <c r="B67" s="39" t="n"/>
      <c r="C67" s="15">
        <f>IF($A67="","",CHOOSE($B67,"JAN","FEV","MAR","ABR","MAI","JUN","JUL","AGO","SET","OUT","NOV","DEZ"))</f>
        <v/>
      </c>
      <c r="D67" s="40">
        <f>IF($A67="","",IFERROR(IF(INDEX('Lançamento'!$B$6:$M$35,MATCH($A67,'Lançamento'!$A$6:$A$35,0),$B67)="","",INDEX('Lançamento'!$B$6:$M$35,MATCH($A67,'Lançamento'!$A$6:$A$35,0),$B67)),""))</f>
        <v/>
      </c>
      <c r="E67" s="12" t="n"/>
      <c r="F67" s="15">
        <f>IF($A67="","",IF(OR($D67="",$E67=""),"Digitar valor do print",IF(ABS($D67-$E67)&lt;=0.001,"✔ Confere","⚠ Divergente")))</f>
        <v/>
      </c>
      <c r="G67" s="39" t="n"/>
      <c r="H67" s="39" t="n"/>
      <c r="I67" s="41" t="n"/>
      <c r="J67" s="39" t="n"/>
    </row>
    <row r="68">
      <c r="A68" s="38" t="n"/>
      <c r="B68" s="39" t="n"/>
      <c r="C68" s="15">
        <f>IF($A68="","",CHOOSE($B68,"JAN","FEV","MAR","ABR","MAI","JUN","JUL","AGO","SET","OUT","NOV","DEZ"))</f>
        <v/>
      </c>
      <c r="D68" s="40">
        <f>IF($A68="","",IFERROR(IF(INDEX('Lançamento'!$B$6:$M$35,MATCH($A68,'Lançamento'!$A$6:$A$35,0),$B68)="","",INDEX('Lançamento'!$B$6:$M$35,MATCH($A68,'Lançamento'!$A$6:$A$35,0),$B68)),""))</f>
        <v/>
      </c>
      <c r="E68" s="12" t="n"/>
      <c r="F68" s="15">
        <f>IF($A68="","",IF(OR($D68="",$E68=""),"Digitar valor do print",IF(ABS($D68-$E68)&lt;=0.001,"✔ Confere","⚠ Divergente")))</f>
        <v/>
      </c>
      <c r="G68" s="39" t="n"/>
      <c r="H68" s="39" t="n"/>
      <c r="I68" s="41" t="n"/>
      <c r="J68" s="39" t="n"/>
    </row>
    <row r="69">
      <c r="A69" s="38" t="n"/>
      <c r="B69" s="39" t="n"/>
      <c r="C69" s="15">
        <f>IF($A69="","",CHOOSE($B69,"JAN","FEV","MAR","ABR","MAI","JUN","JUL","AGO","SET","OUT","NOV","DEZ"))</f>
        <v/>
      </c>
      <c r="D69" s="40">
        <f>IF($A69="","",IFERROR(IF(INDEX('Lançamento'!$B$6:$M$35,MATCH($A69,'Lançamento'!$A$6:$A$35,0),$B69)="","",INDEX('Lançamento'!$B$6:$M$35,MATCH($A69,'Lançamento'!$A$6:$A$35,0),$B69)),""))</f>
        <v/>
      </c>
      <c r="E69" s="12" t="n"/>
      <c r="F69" s="15">
        <f>IF($A69="","",IF(OR($D69="",$E69=""),"Digitar valor do print",IF(ABS($D69-$E69)&lt;=0.001,"✔ Confere","⚠ Divergente")))</f>
        <v/>
      </c>
      <c r="G69" s="39" t="n"/>
      <c r="H69" s="39" t="n"/>
      <c r="I69" s="41" t="n"/>
      <c r="J69" s="39" t="n"/>
    </row>
    <row r="70">
      <c r="A70" s="38" t="n"/>
      <c r="B70" s="39" t="n"/>
      <c r="C70" s="15">
        <f>IF($A70="","",CHOOSE($B70,"JAN","FEV","MAR","ABR","MAI","JUN","JUL","AGO","SET","OUT","NOV","DEZ"))</f>
        <v/>
      </c>
      <c r="D70" s="40">
        <f>IF($A70="","",IFERROR(IF(INDEX('Lançamento'!$B$6:$M$35,MATCH($A70,'Lançamento'!$A$6:$A$35,0),$B70)="","",INDEX('Lançamento'!$B$6:$M$35,MATCH($A70,'Lançamento'!$A$6:$A$35,0),$B70)),""))</f>
        <v/>
      </c>
      <c r="E70" s="12" t="n"/>
      <c r="F70" s="15">
        <f>IF($A70="","",IF(OR($D70="",$E70=""),"Digitar valor do print",IF(ABS($D70-$E70)&lt;=0.001,"✔ Confere","⚠ Divergente")))</f>
        <v/>
      </c>
      <c r="G70" s="39" t="n"/>
      <c r="H70" s="39" t="n"/>
      <c r="I70" s="41" t="n"/>
      <c r="J70" s="39" t="n"/>
    </row>
    <row r="71">
      <c r="A71" s="38" t="n"/>
      <c r="B71" s="39" t="n"/>
      <c r="C71" s="15">
        <f>IF($A71="","",CHOOSE($B71,"JAN","FEV","MAR","ABR","MAI","JUN","JUL","AGO","SET","OUT","NOV","DEZ"))</f>
        <v/>
      </c>
      <c r="D71" s="40">
        <f>IF($A71="","",IFERROR(IF(INDEX('Lançamento'!$B$6:$M$35,MATCH($A71,'Lançamento'!$A$6:$A$35,0),$B71)="","",INDEX('Lançamento'!$B$6:$M$35,MATCH($A71,'Lançamento'!$A$6:$A$35,0),$B71)),""))</f>
        <v/>
      </c>
      <c r="E71" s="12" t="n"/>
      <c r="F71" s="15">
        <f>IF($A71="","",IF(OR($D71="",$E71=""),"Digitar valor do print",IF(ABS($D71-$E71)&lt;=0.001,"✔ Confere","⚠ Divergente")))</f>
        <v/>
      </c>
      <c r="G71" s="39" t="n"/>
      <c r="H71" s="39" t="n"/>
      <c r="I71" s="41" t="n"/>
      <c r="J71" s="39" t="n"/>
    </row>
    <row r="72">
      <c r="A72" s="38" t="n"/>
      <c r="B72" s="39" t="n"/>
      <c r="C72" s="15">
        <f>IF($A72="","",CHOOSE($B72,"JAN","FEV","MAR","ABR","MAI","JUN","JUL","AGO","SET","OUT","NOV","DEZ"))</f>
        <v/>
      </c>
      <c r="D72" s="40">
        <f>IF($A72="","",IFERROR(IF(INDEX('Lançamento'!$B$6:$M$35,MATCH($A72,'Lançamento'!$A$6:$A$35,0),$B72)="","",INDEX('Lançamento'!$B$6:$M$35,MATCH($A72,'Lançamento'!$A$6:$A$35,0),$B72)),""))</f>
        <v/>
      </c>
      <c r="E72" s="12" t="n"/>
      <c r="F72" s="15">
        <f>IF($A72="","",IF(OR($D72="",$E72=""),"Digitar valor do print",IF(ABS($D72-$E72)&lt;=0.001,"✔ Confere","⚠ Divergente")))</f>
        <v/>
      </c>
      <c r="G72" s="39" t="n"/>
      <c r="H72" s="39" t="n"/>
      <c r="I72" s="41" t="n"/>
      <c r="J72" s="39" t="n"/>
    </row>
    <row r="73">
      <c r="A73" s="38" t="n"/>
      <c r="B73" s="39" t="n"/>
      <c r="C73" s="15">
        <f>IF($A73="","",CHOOSE($B73,"JAN","FEV","MAR","ABR","MAI","JUN","JUL","AGO","SET","OUT","NOV","DEZ"))</f>
        <v/>
      </c>
      <c r="D73" s="40">
        <f>IF($A73="","",IFERROR(IF(INDEX('Lançamento'!$B$6:$M$35,MATCH($A73,'Lançamento'!$A$6:$A$35,0),$B73)="","",INDEX('Lançamento'!$B$6:$M$35,MATCH($A73,'Lançamento'!$A$6:$A$35,0),$B73)),""))</f>
        <v/>
      </c>
      <c r="E73" s="12" t="n"/>
      <c r="F73" s="15">
        <f>IF($A73="","",IF(OR($D73="",$E73=""),"Digitar valor do print",IF(ABS($D73-$E73)&lt;=0.001,"✔ Confere","⚠ Divergente")))</f>
        <v/>
      </c>
      <c r="G73" s="39" t="n"/>
      <c r="H73" s="39" t="n"/>
      <c r="I73" s="41" t="n"/>
      <c r="J73" s="39" t="n"/>
    </row>
    <row r="74">
      <c r="A74" s="38" t="n"/>
      <c r="B74" s="39" t="n"/>
      <c r="C74" s="15">
        <f>IF($A74="","",CHOOSE($B74,"JAN","FEV","MAR","ABR","MAI","JUN","JUL","AGO","SET","OUT","NOV","DEZ"))</f>
        <v/>
      </c>
      <c r="D74" s="40">
        <f>IF($A74="","",IFERROR(IF(INDEX('Lançamento'!$B$6:$M$35,MATCH($A74,'Lançamento'!$A$6:$A$35,0),$B74)="","",INDEX('Lançamento'!$B$6:$M$35,MATCH($A74,'Lançamento'!$A$6:$A$35,0),$B74)),""))</f>
        <v/>
      </c>
      <c r="E74" s="12" t="n"/>
      <c r="F74" s="15">
        <f>IF($A74="","",IF(OR($D74="",$E74=""),"Digitar valor do print",IF(ABS($D74-$E74)&lt;=0.001,"✔ Confere","⚠ Divergente")))</f>
        <v/>
      </c>
      <c r="G74" s="39" t="n"/>
      <c r="H74" s="39" t="n"/>
      <c r="I74" s="41" t="n"/>
      <c r="J74" s="39" t="n"/>
    </row>
    <row r="75">
      <c r="A75" s="38" t="n"/>
      <c r="B75" s="39" t="n"/>
      <c r="C75" s="15">
        <f>IF($A75="","",CHOOSE($B75,"JAN","FEV","MAR","ABR","MAI","JUN","JUL","AGO","SET","OUT","NOV","DEZ"))</f>
        <v/>
      </c>
      <c r="D75" s="40">
        <f>IF($A75="","",IFERROR(IF(INDEX('Lançamento'!$B$6:$M$35,MATCH($A75,'Lançamento'!$A$6:$A$35,0),$B75)="","",INDEX('Lançamento'!$B$6:$M$35,MATCH($A75,'Lançamento'!$A$6:$A$35,0),$B75)),""))</f>
        <v/>
      </c>
      <c r="E75" s="12" t="n"/>
      <c r="F75" s="15">
        <f>IF($A75="","",IF(OR($D75="",$E75=""),"Digitar valor do print",IF(ABS($D75-$E75)&lt;=0.001,"✔ Confere","⚠ Divergente")))</f>
        <v/>
      </c>
      <c r="G75" s="39" t="n"/>
      <c r="H75" s="39" t="n"/>
      <c r="I75" s="41" t="n"/>
      <c r="J75" s="39" t="n"/>
    </row>
    <row r="76">
      <c r="A76" s="38" t="n"/>
      <c r="B76" s="39" t="n"/>
      <c r="C76" s="15">
        <f>IF($A76="","",CHOOSE($B76,"JAN","FEV","MAR","ABR","MAI","JUN","JUL","AGO","SET","OUT","NOV","DEZ"))</f>
        <v/>
      </c>
      <c r="D76" s="40">
        <f>IF($A76="","",IFERROR(IF(INDEX('Lançamento'!$B$6:$M$35,MATCH($A76,'Lançamento'!$A$6:$A$35,0),$B76)="","",INDEX('Lançamento'!$B$6:$M$35,MATCH($A76,'Lançamento'!$A$6:$A$35,0),$B76)),""))</f>
        <v/>
      </c>
      <c r="E76" s="12" t="n"/>
      <c r="F76" s="15">
        <f>IF($A76="","",IF(OR($D76="",$E76=""),"Digitar valor do print",IF(ABS($D76-$E76)&lt;=0.001,"✔ Confere","⚠ Divergente")))</f>
        <v/>
      </c>
      <c r="G76" s="39" t="n"/>
      <c r="H76" s="39" t="n"/>
      <c r="I76" s="41" t="n"/>
      <c r="J76" s="39" t="n"/>
    </row>
    <row r="77">
      <c r="A77" s="38" t="n"/>
      <c r="B77" s="39" t="n"/>
      <c r="C77" s="15">
        <f>IF($A77="","",CHOOSE($B77,"JAN","FEV","MAR","ABR","MAI","JUN","JUL","AGO","SET","OUT","NOV","DEZ"))</f>
        <v/>
      </c>
      <c r="D77" s="40">
        <f>IF($A77="","",IFERROR(IF(INDEX('Lançamento'!$B$6:$M$35,MATCH($A77,'Lançamento'!$A$6:$A$35,0),$B77)="","",INDEX('Lançamento'!$B$6:$M$35,MATCH($A77,'Lançamento'!$A$6:$A$35,0),$B77)),""))</f>
        <v/>
      </c>
      <c r="E77" s="12" t="n"/>
      <c r="F77" s="15">
        <f>IF($A77="","",IF(OR($D77="",$E77=""),"Digitar valor do print",IF(ABS($D77-$E77)&lt;=0.001,"✔ Confere","⚠ Divergente")))</f>
        <v/>
      </c>
      <c r="G77" s="39" t="n"/>
      <c r="H77" s="39" t="n"/>
      <c r="I77" s="41" t="n"/>
      <c r="J77" s="39" t="n"/>
    </row>
    <row r="78">
      <c r="A78" s="38" t="n"/>
      <c r="B78" s="39" t="n"/>
      <c r="C78" s="15">
        <f>IF($A78="","",CHOOSE($B78,"JAN","FEV","MAR","ABR","MAI","JUN","JUL","AGO","SET","OUT","NOV","DEZ"))</f>
        <v/>
      </c>
      <c r="D78" s="40">
        <f>IF($A78="","",IFERROR(IF(INDEX('Lançamento'!$B$6:$M$35,MATCH($A78,'Lançamento'!$A$6:$A$35,0),$B78)="","",INDEX('Lançamento'!$B$6:$M$35,MATCH($A78,'Lançamento'!$A$6:$A$35,0),$B78)),""))</f>
        <v/>
      </c>
      <c r="E78" s="12" t="n"/>
      <c r="F78" s="15">
        <f>IF($A78="","",IF(OR($D78="",$E78=""),"Digitar valor do print",IF(ABS($D78-$E78)&lt;=0.001,"✔ Confere","⚠ Divergente")))</f>
        <v/>
      </c>
      <c r="G78" s="39" t="n"/>
      <c r="H78" s="39" t="n"/>
      <c r="I78" s="41" t="n"/>
      <c r="J78" s="39" t="n"/>
    </row>
    <row r="79">
      <c r="A79" s="38" t="n"/>
      <c r="B79" s="39" t="n"/>
      <c r="C79" s="15">
        <f>IF($A79="","",CHOOSE($B79,"JAN","FEV","MAR","ABR","MAI","JUN","JUL","AGO","SET","OUT","NOV","DEZ"))</f>
        <v/>
      </c>
      <c r="D79" s="40">
        <f>IF($A79="","",IFERROR(IF(INDEX('Lançamento'!$B$6:$M$35,MATCH($A79,'Lançamento'!$A$6:$A$35,0),$B79)="","",INDEX('Lançamento'!$B$6:$M$35,MATCH($A79,'Lançamento'!$A$6:$A$35,0),$B79)),""))</f>
        <v/>
      </c>
      <c r="E79" s="12" t="n"/>
      <c r="F79" s="15">
        <f>IF($A79="","",IF(OR($D79="",$E79=""),"Digitar valor do print",IF(ABS($D79-$E79)&lt;=0.001,"✔ Confere","⚠ Divergente")))</f>
        <v/>
      </c>
      <c r="G79" s="39" t="n"/>
      <c r="H79" s="39" t="n"/>
      <c r="I79" s="41" t="n"/>
      <c r="J79" s="39" t="n"/>
    </row>
    <row r="80">
      <c r="A80" s="38" t="n"/>
      <c r="B80" s="39" t="n"/>
      <c r="C80" s="15">
        <f>IF($A80="","",CHOOSE($B80,"JAN","FEV","MAR","ABR","MAI","JUN","JUL","AGO","SET","OUT","NOV","DEZ"))</f>
        <v/>
      </c>
      <c r="D80" s="40">
        <f>IF($A80="","",IFERROR(IF(INDEX('Lançamento'!$B$6:$M$35,MATCH($A80,'Lançamento'!$A$6:$A$35,0),$B80)="","",INDEX('Lançamento'!$B$6:$M$35,MATCH($A80,'Lançamento'!$A$6:$A$35,0),$B80)),""))</f>
        <v/>
      </c>
      <c r="E80" s="12" t="n"/>
      <c r="F80" s="15">
        <f>IF($A80="","",IF(OR($D80="",$E80=""),"Digitar valor do print",IF(ABS($D80-$E80)&lt;=0.001,"✔ Confere","⚠ Divergente")))</f>
        <v/>
      </c>
      <c r="G80" s="39" t="n"/>
      <c r="H80" s="39" t="n"/>
      <c r="I80" s="41" t="n"/>
      <c r="J80" s="39" t="n"/>
    </row>
    <row r="81">
      <c r="A81" s="38" t="n"/>
      <c r="B81" s="39" t="n"/>
      <c r="C81" s="15">
        <f>IF($A81="","",CHOOSE($B81,"JAN","FEV","MAR","ABR","MAI","JUN","JUL","AGO","SET","OUT","NOV","DEZ"))</f>
        <v/>
      </c>
      <c r="D81" s="40">
        <f>IF($A81="","",IFERROR(IF(INDEX('Lançamento'!$B$6:$M$35,MATCH($A81,'Lançamento'!$A$6:$A$35,0),$B81)="","",INDEX('Lançamento'!$B$6:$M$35,MATCH($A81,'Lançamento'!$A$6:$A$35,0),$B81)),""))</f>
        <v/>
      </c>
      <c r="E81" s="12" t="n"/>
      <c r="F81" s="15">
        <f>IF($A81="","",IF(OR($D81="",$E81=""),"Digitar valor do print",IF(ABS($D81-$E81)&lt;=0.001,"✔ Confere","⚠ Divergente")))</f>
        <v/>
      </c>
      <c r="G81" s="39" t="n"/>
      <c r="H81" s="39" t="n"/>
      <c r="I81" s="41" t="n"/>
      <c r="J81" s="39" t="n"/>
    </row>
    <row r="82">
      <c r="A82" s="38" t="n"/>
      <c r="B82" s="39" t="n"/>
      <c r="C82" s="15">
        <f>IF($A82="","",CHOOSE($B82,"JAN","FEV","MAR","ABR","MAI","JUN","JUL","AGO","SET","OUT","NOV","DEZ"))</f>
        <v/>
      </c>
      <c r="D82" s="40">
        <f>IF($A82="","",IFERROR(IF(INDEX('Lançamento'!$B$6:$M$35,MATCH($A82,'Lançamento'!$A$6:$A$35,0),$B82)="","",INDEX('Lançamento'!$B$6:$M$35,MATCH($A82,'Lançamento'!$A$6:$A$35,0),$B82)),""))</f>
        <v/>
      </c>
      <c r="E82" s="12" t="n"/>
      <c r="F82" s="15">
        <f>IF($A82="","",IF(OR($D82="",$E82=""),"Digitar valor do print",IF(ABS($D82-$E82)&lt;=0.001,"✔ Confere","⚠ Divergente")))</f>
        <v/>
      </c>
      <c r="G82" s="39" t="n"/>
      <c r="H82" s="39" t="n"/>
      <c r="I82" s="41" t="n"/>
      <c r="J82" s="39" t="n"/>
    </row>
    <row r="83">
      <c r="A83" s="38" t="n"/>
      <c r="B83" s="39" t="n"/>
      <c r="C83" s="15">
        <f>IF($A83="","",CHOOSE($B83,"JAN","FEV","MAR","ABR","MAI","JUN","JUL","AGO","SET","OUT","NOV","DEZ"))</f>
        <v/>
      </c>
      <c r="D83" s="40">
        <f>IF($A83="","",IFERROR(IF(INDEX('Lançamento'!$B$6:$M$35,MATCH($A83,'Lançamento'!$A$6:$A$35,0),$B83)="","",INDEX('Lançamento'!$B$6:$M$35,MATCH($A83,'Lançamento'!$A$6:$A$35,0),$B83)),""))</f>
        <v/>
      </c>
      <c r="E83" s="12" t="n"/>
      <c r="F83" s="15">
        <f>IF($A83="","",IF(OR($D83="",$E83=""),"Digitar valor do print",IF(ABS($D83-$E83)&lt;=0.001,"✔ Confere","⚠ Divergente")))</f>
        <v/>
      </c>
      <c r="G83" s="39" t="n"/>
      <c r="H83" s="39" t="n"/>
      <c r="I83" s="41" t="n"/>
      <c r="J83" s="39" t="n"/>
    </row>
    <row r="84">
      <c r="A84" s="38" t="n"/>
      <c r="B84" s="39" t="n"/>
      <c r="C84" s="15">
        <f>IF($A84="","",CHOOSE($B84,"JAN","FEV","MAR","ABR","MAI","JUN","JUL","AGO","SET","OUT","NOV","DEZ"))</f>
        <v/>
      </c>
      <c r="D84" s="40">
        <f>IF($A84="","",IFERROR(IF(INDEX('Lançamento'!$B$6:$M$35,MATCH($A84,'Lançamento'!$A$6:$A$35,0),$B84)="","",INDEX('Lançamento'!$B$6:$M$35,MATCH($A84,'Lançamento'!$A$6:$A$35,0),$B84)),""))</f>
        <v/>
      </c>
      <c r="E84" s="12" t="n"/>
      <c r="F84" s="15">
        <f>IF($A84="","",IF(OR($D84="",$E84=""),"Digitar valor do print",IF(ABS($D84-$E84)&lt;=0.001,"✔ Confere","⚠ Divergente")))</f>
        <v/>
      </c>
      <c r="G84" s="39" t="n"/>
      <c r="H84" s="39" t="n"/>
      <c r="I84" s="41" t="n"/>
      <c r="J84" s="39" t="n"/>
    </row>
    <row r="85">
      <c r="A85" s="38" t="n"/>
      <c r="B85" s="39" t="n"/>
      <c r="C85" s="15">
        <f>IF($A85="","",CHOOSE($B85,"JAN","FEV","MAR","ABR","MAI","JUN","JUL","AGO","SET","OUT","NOV","DEZ"))</f>
        <v/>
      </c>
      <c r="D85" s="40">
        <f>IF($A85="","",IFERROR(IF(INDEX('Lançamento'!$B$6:$M$35,MATCH($A85,'Lançamento'!$A$6:$A$35,0),$B85)="","",INDEX('Lançamento'!$B$6:$M$35,MATCH($A85,'Lançamento'!$A$6:$A$35,0),$B85)),""))</f>
        <v/>
      </c>
      <c r="E85" s="12" t="n"/>
      <c r="F85" s="15">
        <f>IF($A85="","",IF(OR($D85="",$E85=""),"Digitar valor do print",IF(ABS($D85-$E85)&lt;=0.001,"✔ Confere","⚠ Divergente")))</f>
        <v/>
      </c>
      <c r="G85" s="39" t="n"/>
      <c r="H85" s="39" t="n"/>
      <c r="I85" s="41" t="n"/>
      <c r="J85" s="39" t="n"/>
    </row>
    <row r="86">
      <c r="A86" s="38" t="n"/>
      <c r="B86" s="39" t="n"/>
      <c r="C86" s="15">
        <f>IF($A86="","",CHOOSE($B86,"JAN","FEV","MAR","ABR","MAI","JUN","JUL","AGO","SET","OUT","NOV","DEZ"))</f>
        <v/>
      </c>
      <c r="D86" s="40">
        <f>IF($A86="","",IFERROR(IF(INDEX('Lançamento'!$B$6:$M$35,MATCH($A86,'Lançamento'!$A$6:$A$35,0),$B86)="","",INDEX('Lançamento'!$B$6:$M$35,MATCH($A86,'Lançamento'!$A$6:$A$35,0),$B86)),""))</f>
        <v/>
      </c>
      <c r="E86" s="12" t="n"/>
      <c r="F86" s="15">
        <f>IF($A86="","",IF(OR($D86="",$E86=""),"Digitar valor do print",IF(ABS($D86-$E86)&lt;=0.001,"✔ Confere","⚠ Divergente")))</f>
        <v/>
      </c>
      <c r="G86" s="39" t="n"/>
      <c r="H86" s="39" t="n"/>
      <c r="I86" s="41" t="n"/>
      <c r="J86" s="39" t="n"/>
    </row>
    <row r="87">
      <c r="A87" s="38" t="n"/>
      <c r="B87" s="39" t="n"/>
      <c r="C87" s="15">
        <f>IF($A87="","",CHOOSE($B87,"JAN","FEV","MAR","ABR","MAI","JUN","JUL","AGO","SET","OUT","NOV","DEZ"))</f>
        <v/>
      </c>
      <c r="D87" s="40">
        <f>IF($A87="","",IFERROR(IF(INDEX('Lançamento'!$B$6:$M$35,MATCH($A87,'Lançamento'!$A$6:$A$35,0),$B87)="","",INDEX('Lançamento'!$B$6:$M$35,MATCH($A87,'Lançamento'!$A$6:$A$35,0),$B87)),""))</f>
        <v/>
      </c>
      <c r="E87" s="12" t="n"/>
      <c r="F87" s="15">
        <f>IF($A87="","",IF(OR($D87="",$E87=""),"Digitar valor do print",IF(ABS($D87-$E87)&lt;=0.001,"✔ Confere","⚠ Divergente")))</f>
        <v/>
      </c>
      <c r="G87" s="39" t="n"/>
      <c r="H87" s="39" t="n"/>
      <c r="I87" s="41" t="n"/>
      <c r="J87" s="39" t="n"/>
    </row>
    <row r="88">
      <c r="A88" s="38" t="n"/>
      <c r="B88" s="39" t="n"/>
      <c r="C88" s="15">
        <f>IF($A88="","",CHOOSE($B88,"JAN","FEV","MAR","ABR","MAI","JUN","JUL","AGO","SET","OUT","NOV","DEZ"))</f>
        <v/>
      </c>
      <c r="D88" s="40">
        <f>IF($A88="","",IFERROR(IF(INDEX('Lançamento'!$B$6:$M$35,MATCH($A88,'Lançamento'!$A$6:$A$35,0),$B88)="","",INDEX('Lançamento'!$B$6:$M$35,MATCH($A88,'Lançamento'!$A$6:$A$35,0),$B88)),""))</f>
        <v/>
      </c>
      <c r="E88" s="12" t="n"/>
      <c r="F88" s="15">
        <f>IF($A88="","",IF(OR($D88="",$E88=""),"Digitar valor do print",IF(ABS($D88-$E88)&lt;=0.001,"✔ Confere","⚠ Divergente")))</f>
        <v/>
      </c>
      <c r="G88" s="39" t="n"/>
      <c r="H88" s="39" t="n"/>
      <c r="I88" s="41" t="n"/>
      <c r="J88" s="39" t="n"/>
    </row>
    <row r="89">
      <c r="A89" s="38" t="n"/>
      <c r="B89" s="39" t="n"/>
      <c r="C89" s="15">
        <f>IF($A89="","",CHOOSE($B89,"JAN","FEV","MAR","ABR","MAI","JUN","JUL","AGO","SET","OUT","NOV","DEZ"))</f>
        <v/>
      </c>
      <c r="D89" s="40">
        <f>IF($A89="","",IFERROR(IF(INDEX('Lançamento'!$B$6:$M$35,MATCH($A89,'Lançamento'!$A$6:$A$35,0),$B89)="","",INDEX('Lançamento'!$B$6:$M$35,MATCH($A89,'Lançamento'!$A$6:$A$35,0),$B89)),""))</f>
        <v/>
      </c>
      <c r="E89" s="12" t="n"/>
      <c r="F89" s="15">
        <f>IF($A89="","",IF(OR($D89="",$E89=""),"Digitar valor do print",IF(ABS($D89-$E89)&lt;=0.001,"✔ Confere","⚠ Divergente")))</f>
        <v/>
      </c>
      <c r="G89" s="39" t="n"/>
      <c r="H89" s="39" t="n"/>
      <c r="I89" s="41" t="n"/>
      <c r="J89" s="39" t="n"/>
    </row>
    <row r="90">
      <c r="A90" s="38" t="n"/>
      <c r="B90" s="39" t="n"/>
      <c r="C90" s="15">
        <f>IF($A90="","",CHOOSE($B90,"JAN","FEV","MAR","ABR","MAI","JUN","JUL","AGO","SET","OUT","NOV","DEZ"))</f>
        <v/>
      </c>
      <c r="D90" s="40">
        <f>IF($A90="","",IFERROR(IF(INDEX('Lançamento'!$B$6:$M$35,MATCH($A90,'Lançamento'!$A$6:$A$35,0),$B90)="","",INDEX('Lançamento'!$B$6:$M$35,MATCH($A90,'Lançamento'!$A$6:$A$35,0),$B90)),""))</f>
        <v/>
      </c>
      <c r="E90" s="12" t="n"/>
      <c r="F90" s="15">
        <f>IF($A90="","",IF(OR($D90="",$E90=""),"Digitar valor do print",IF(ABS($D90-$E90)&lt;=0.001,"✔ Confere","⚠ Divergente")))</f>
        <v/>
      </c>
      <c r="G90" s="39" t="n"/>
      <c r="H90" s="39" t="n"/>
      <c r="I90" s="41" t="n"/>
      <c r="J90" s="39" t="n"/>
    </row>
    <row r="91">
      <c r="A91" s="38" t="n"/>
      <c r="B91" s="39" t="n"/>
      <c r="C91" s="15">
        <f>IF($A91="","",CHOOSE($B91,"JAN","FEV","MAR","ABR","MAI","JUN","JUL","AGO","SET","OUT","NOV","DEZ"))</f>
        <v/>
      </c>
      <c r="D91" s="40">
        <f>IF($A91="","",IFERROR(IF(INDEX('Lançamento'!$B$6:$M$35,MATCH($A91,'Lançamento'!$A$6:$A$35,0),$B91)="","",INDEX('Lançamento'!$B$6:$M$35,MATCH($A91,'Lançamento'!$A$6:$A$35,0),$B91)),""))</f>
        <v/>
      </c>
      <c r="E91" s="12" t="n"/>
      <c r="F91" s="15">
        <f>IF($A91="","",IF(OR($D91="",$E91=""),"Digitar valor do print",IF(ABS($D91-$E91)&lt;=0.001,"✔ Confere","⚠ Divergente")))</f>
        <v/>
      </c>
      <c r="G91" s="39" t="n"/>
      <c r="H91" s="39" t="n"/>
      <c r="I91" s="41" t="n"/>
      <c r="J91" s="39" t="n"/>
    </row>
    <row r="92">
      <c r="A92" s="38" t="n"/>
      <c r="B92" s="39" t="n"/>
      <c r="C92" s="15">
        <f>IF($A92="","",CHOOSE($B92,"JAN","FEV","MAR","ABR","MAI","JUN","JUL","AGO","SET","OUT","NOV","DEZ"))</f>
        <v/>
      </c>
      <c r="D92" s="40">
        <f>IF($A92="","",IFERROR(IF(INDEX('Lançamento'!$B$6:$M$35,MATCH($A92,'Lançamento'!$A$6:$A$35,0),$B92)="","",INDEX('Lançamento'!$B$6:$M$35,MATCH($A92,'Lançamento'!$A$6:$A$35,0),$B92)),""))</f>
        <v/>
      </c>
      <c r="E92" s="12" t="n"/>
      <c r="F92" s="15">
        <f>IF($A92="","",IF(OR($D92="",$E92=""),"Digitar valor do print",IF(ABS($D92-$E92)&lt;=0.001,"✔ Confere","⚠ Divergente")))</f>
        <v/>
      </c>
      <c r="G92" s="39" t="n"/>
      <c r="H92" s="39" t="n"/>
      <c r="I92" s="41" t="n"/>
      <c r="J92" s="39" t="n"/>
    </row>
    <row r="93">
      <c r="A93" s="38" t="n"/>
      <c r="B93" s="39" t="n"/>
      <c r="C93" s="15">
        <f>IF($A93="","",CHOOSE($B93,"JAN","FEV","MAR","ABR","MAI","JUN","JUL","AGO","SET","OUT","NOV","DEZ"))</f>
        <v/>
      </c>
      <c r="D93" s="40">
        <f>IF($A93="","",IFERROR(IF(INDEX('Lançamento'!$B$6:$M$35,MATCH($A93,'Lançamento'!$A$6:$A$35,0),$B93)="","",INDEX('Lançamento'!$B$6:$M$35,MATCH($A93,'Lançamento'!$A$6:$A$35,0),$B93)),""))</f>
        <v/>
      </c>
      <c r="E93" s="12" t="n"/>
      <c r="F93" s="15">
        <f>IF($A93="","",IF(OR($D93="",$E93=""),"Digitar valor do print",IF(ABS($D93-$E93)&lt;=0.001,"✔ Confere","⚠ Divergente")))</f>
        <v/>
      </c>
      <c r="G93" s="39" t="n"/>
      <c r="H93" s="39" t="n"/>
      <c r="I93" s="41" t="n"/>
      <c r="J93" s="39" t="n"/>
    </row>
    <row r="94">
      <c r="A94" s="38" t="n"/>
      <c r="B94" s="39" t="n"/>
      <c r="C94" s="15">
        <f>IF($A94="","",CHOOSE($B94,"JAN","FEV","MAR","ABR","MAI","JUN","JUL","AGO","SET","OUT","NOV","DEZ"))</f>
        <v/>
      </c>
      <c r="D94" s="40">
        <f>IF($A94="","",IFERROR(IF(INDEX('Lançamento'!$B$6:$M$35,MATCH($A94,'Lançamento'!$A$6:$A$35,0),$B94)="","",INDEX('Lançamento'!$B$6:$M$35,MATCH($A94,'Lançamento'!$A$6:$A$35,0),$B94)),""))</f>
        <v/>
      </c>
      <c r="E94" s="12" t="n"/>
      <c r="F94" s="15">
        <f>IF($A94="","",IF(OR($D94="",$E94=""),"Digitar valor do print",IF(ABS($D94-$E94)&lt;=0.001,"✔ Confere","⚠ Divergente")))</f>
        <v/>
      </c>
      <c r="G94" s="39" t="n"/>
      <c r="H94" s="39" t="n"/>
      <c r="I94" s="41" t="n"/>
      <c r="J94" s="39" t="n"/>
    </row>
    <row r="95">
      <c r="A95" s="38" t="n"/>
      <c r="B95" s="39" t="n"/>
      <c r="C95" s="15">
        <f>IF($A95="","",CHOOSE($B95,"JAN","FEV","MAR","ABR","MAI","JUN","JUL","AGO","SET","OUT","NOV","DEZ"))</f>
        <v/>
      </c>
      <c r="D95" s="40">
        <f>IF($A95="","",IFERROR(IF(INDEX('Lançamento'!$B$6:$M$35,MATCH($A95,'Lançamento'!$A$6:$A$35,0),$B95)="","",INDEX('Lançamento'!$B$6:$M$35,MATCH($A95,'Lançamento'!$A$6:$A$35,0),$B95)),""))</f>
        <v/>
      </c>
      <c r="E95" s="12" t="n"/>
      <c r="F95" s="15">
        <f>IF($A95="","",IF(OR($D95="",$E95=""),"Digitar valor do print",IF(ABS($D95-$E95)&lt;=0.001,"✔ Confere","⚠ Divergente")))</f>
        <v/>
      </c>
      <c r="G95" s="39" t="n"/>
      <c r="H95" s="39" t="n"/>
      <c r="I95" s="41" t="n"/>
      <c r="J95" s="39" t="n"/>
    </row>
    <row r="96">
      <c r="A96" s="38" t="n"/>
      <c r="B96" s="39" t="n"/>
      <c r="C96" s="15">
        <f>IF($A96="","",CHOOSE($B96,"JAN","FEV","MAR","ABR","MAI","JUN","JUL","AGO","SET","OUT","NOV","DEZ"))</f>
        <v/>
      </c>
      <c r="D96" s="40">
        <f>IF($A96="","",IFERROR(IF(INDEX('Lançamento'!$B$6:$M$35,MATCH($A96,'Lançamento'!$A$6:$A$35,0),$B96)="","",INDEX('Lançamento'!$B$6:$M$35,MATCH($A96,'Lançamento'!$A$6:$A$35,0),$B96)),""))</f>
        <v/>
      </c>
      <c r="E96" s="12" t="n"/>
      <c r="F96" s="15">
        <f>IF($A96="","",IF(OR($D96="",$E96=""),"Digitar valor do print",IF(ABS($D96-$E96)&lt;=0.001,"✔ Confere","⚠ Divergente")))</f>
        <v/>
      </c>
      <c r="G96" s="39" t="n"/>
      <c r="H96" s="39" t="n"/>
      <c r="I96" s="41" t="n"/>
      <c r="J96" s="39" t="n"/>
    </row>
    <row r="97">
      <c r="A97" s="38" t="n"/>
      <c r="B97" s="39" t="n"/>
      <c r="C97" s="15">
        <f>IF($A97="","",CHOOSE($B97,"JAN","FEV","MAR","ABR","MAI","JUN","JUL","AGO","SET","OUT","NOV","DEZ"))</f>
        <v/>
      </c>
      <c r="D97" s="40">
        <f>IF($A97="","",IFERROR(IF(INDEX('Lançamento'!$B$6:$M$35,MATCH($A97,'Lançamento'!$A$6:$A$35,0),$B97)="","",INDEX('Lançamento'!$B$6:$M$35,MATCH($A97,'Lançamento'!$A$6:$A$35,0),$B97)),""))</f>
        <v/>
      </c>
      <c r="E97" s="12" t="n"/>
      <c r="F97" s="15">
        <f>IF($A97="","",IF(OR($D97="",$E97=""),"Digitar valor do print",IF(ABS($D97-$E97)&lt;=0.001,"✔ Confere","⚠ Divergente")))</f>
        <v/>
      </c>
      <c r="G97" s="39" t="n"/>
      <c r="H97" s="39" t="n"/>
      <c r="I97" s="41" t="n"/>
      <c r="J97" s="39" t="n"/>
    </row>
    <row r="98">
      <c r="A98" s="38" t="n"/>
      <c r="B98" s="39" t="n"/>
      <c r="C98" s="15">
        <f>IF($A98="","",CHOOSE($B98,"JAN","FEV","MAR","ABR","MAI","JUN","JUL","AGO","SET","OUT","NOV","DEZ"))</f>
        <v/>
      </c>
      <c r="D98" s="40">
        <f>IF($A98="","",IFERROR(IF(INDEX('Lançamento'!$B$6:$M$35,MATCH($A98,'Lançamento'!$A$6:$A$35,0),$B98)="","",INDEX('Lançamento'!$B$6:$M$35,MATCH($A98,'Lançamento'!$A$6:$A$35,0),$B98)),""))</f>
        <v/>
      </c>
      <c r="E98" s="12" t="n"/>
      <c r="F98" s="15">
        <f>IF($A98="","",IF(OR($D98="",$E98=""),"Digitar valor do print",IF(ABS($D98-$E98)&lt;=0.001,"✔ Confere","⚠ Divergente")))</f>
        <v/>
      </c>
      <c r="G98" s="39" t="n"/>
      <c r="H98" s="39" t="n"/>
      <c r="I98" s="41" t="n"/>
      <c r="J98" s="39" t="n"/>
    </row>
    <row r="99">
      <c r="A99" s="38" t="n"/>
      <c r="B99" s="39" t="n"/>
      <c r="C99" s="15">
        <f>IF($A99="","",CHOOSE($B99,"JAN","FEV","MAR","ABR","MAI","JUN","JUL","AGO","SET","OUT","NOV","DEZ"))</f>
        <v/>
      </c>
      <c r="D99" s="40">
        <f>IF($A99="","",IFERROR(IF(INDEX('Lançamento'!$B$6:$M$35,MATCH($A99,'Lançamento'!$A$6:$A$35,0),$B99)="","",INDEX('Lançamento'!$B$6:$M$35,MATCH($A99,'Lançamento'!$A$6:$A$35,0),$B99)),""))</f>
        <v/>
      </c>
      <c r="E99" s="12" t="n"/>
      <c r="F99" s="15">
        <f>IF($A99="","",IF(OR($D99="",$E99=""),"Digitar valor do print",IF(ABS($D99-$E99)&lt;=0.001,"✔ Confere","⚠ Divergente")))</f>
        <v/>
      </c>
      <c r="G99" s="39" t="n"/>
      <c r="H99" s="39" t="n"/>
      <c r="I99" s="41" t="n"/>
      <c r="J99" s="39" t="n"/>
    </row>
    <row r="100">
      <c r="A100" s="38" t="n"/>
      <c r="B100" s="39" t="n"/>
      <c r="C100" s="15">
        <f>IF($A100="","",CHOOSE($B100,"JAN","FEV","MAR","ABR","MAI","JUN","JUL","AGO","SET","OUT","NOV","DEZ"))</f>
        <v/>
      </c>
      <c r="D100" s="40">
        <f>IF($A100="","",IFERROR(IF(INDEX('Lançamento'!$B$6:$M$35,MATCH($A100,'Lançamento'!$A$6:$A$35,0),$B100)="","",INDEX('Lançamento'!$B$6:$M$35,MATCH($A100,'Lançamento'!$A$6:$A$35,0),$B100)),""))</f>
        <v/>
      </c>
      <c r="E100" s="12" t="n"/>
      <c r="F100" s="15">
        <f>IF($A100="","",IF(OR($D100="",$E100=""),"Digitar valor do print",IF(ABS($D100-$E100)&lt;=0.001,"✔ Confere","⚠ Divergente")))</f>
        <v/>
      </c>
      <c r="G100" s="39" t="n"/>
      <c r="H100" s="39" t="n"/>
      <c r="I100" s="41" t="n"/>
      <c r="J100" s="39" t="n"/>
    </row>
    <row r="101">
      <c r="A101" s="38" t="n"/>
      <c r="B101" s="39" t="n"/>
      <c r="C101" s="15">
        <f>IF($A101="","",CHOOSE($B101,"JAN","FEV","MAR","ABR","MAI","JUN","JUL","AGO","SET","OUT","NOV","DEZ"))</f>
        <v/>
      </c>
      <c r="D101" s="40">
        <f>IF($A101="","",IFERROR(IF(INDEX('Lançamento'!$B$6:$M$35,MATCH($A101,'Lançamento'!$A$6:$A$35,0),$B101)="","",INDEX('Lançamento'!$B$6:$M$35,MATCH($A101,'Lançamento'!$A$6:$A$35,0),$B101)),""))</f>
        <v/>
      </c>
      <c r="E101" s="12" t="n"/>
      <c r="F101" s="15">
        <f>IF($A101="","",IF(OR($D101="",$E101=""),"Digitar valor do print",IF(ABS($D101-$E101)&lt;=0.001,"✔ Confere","⚠ Divergente")))</f>
        <v/>
      </c>
      <c r="G101" s="39" t="n"/>
      <c r="H101" s="39" t="n"/>
      <c r="I101" s="41" t="n"/>
      <c r="J101" s="39" t="n"/>
    </row>
    <row r="102">
      <c r="A102" s="38" t="n"/>
      <c r="B102" s="39" t="n"/>
      <c r="C102" s="15">
        <f>IF($A102="","",CHOOSE($B102,"JAN","FEV","MAR","ABR","MAI","JUN","JUL","AGO","SET","OUT","NOV","DEZ"))</f>
        <v/>
      </c>
      <c r="D102" s="40">
        <f>IF($A102="","",IFERROR(IF(INDEX('Lançamento'!$B$6:$M$35,MATCH($A102,'Lançamento'!$A$6:$A$35,0),$B102)="","",INDEX('Lançamento'!$B$6:$M$35,MATCH($A102,'Lançamento'!$A$6:$A$35,0),$B102)),""))</f>
        <v/>
      </c>
      <c r="E102" s="12" t="n"/>
      <c r="F102" s="15">
        <f>IF($A102="","",IF(OR($D102="",$E102=""),"Digitar valor do print",IF(ABS($D102-$E102)&lt;=0.001,"✔ Confere","⚠ Divergente")))</f>
        <v/>
      </c>
      <c r="G102" s="39" t="n"/>
      <c r="H102" s="39" t="n"/>
      <c r="I102" s="41" t="n"/>
      <c r="J102" s="39" t="n"/>
    </row>
    <row r="103">
      <c r="A103" s="38" t="n"/>
      <c r="B103" s="39" t="n"/>
      <c r="C103" s="15">
        <f>IF($A103="","",CHOOSE($B103,"JAN","FEV","MAR","ABR","MAI","JUN","JUL","AGO","SET","OUT","NOV","DEZ"))</f>
        <v/>
      </c>
      <c r="D103" s="40">
        <f>IF($A103="","",IFERROR(IF(INDEX('Lançamento'!$B$6:$M$35,MATCH($A103,'Lançamento'!$A$6:$A$35,0),$B103)="","",INDEX('Lançamento'!$B$6:$M$35,MATCH($A103,'Lançamento'!$A$6:$A$35,0),$B103)),""))</f>
        <v/>
      </c>
      <c r="E103" s="12" t="n"/>
      <c r="F103" s="15">
        <f>IF($A103="","",IF(OR($D103="",$E103=""),"Digitar valor do print",IF(ABS($D103-$E103)&lt;=0.001,"✔ Confere","⚠ Divergente")))</f>
        <v/>
      </c>
      <c r="G103" s="39" t="n"/>
      <c r="H103" s="39" t="n"/>
      <c r="I103" s="41" t="n"/>
      <c r="J103" s="39" t="n"/>
    </row>
    <row r="104">
      <c r="A104" s="38" t="n"/>
      <c r="B104" s="39" t="n"/>
      <c r="C104" s="15">
        <f>IF($A104="","",CHOOSE($B104,"JAN","FEV","MAR","ABR","MAI","JUN","JUL","AGO","SET","OUT","NOV","DEZ"))</f>
        <v/>
      </c>
      <c r="D104" s="40">
        <f>IF($A104="","",IFERROR(IF(INDEX('Lançamento'!$B$6:$M$35,MATCH($A104,'Lançamento'!$A$6:$A$35,0),$B104)="","",INDEX('Lançamento'!$B$6:$M$35,MATCH($A104,'Lançamento'!$A$6:$A$35,0),$B104)),""))</f>
        <v/>
      </c>
      <c r="E104" s="12" t="n"/>
      <c r="F104" s="15">
        <f>IF($A104="","",IF(OR($D104="",$E104=""),"Digitar valor do print",IF(ABS($D104-$E104)&lt;=0.001,"✔ Confere","⚠ Divergente")))</f>
        <v/>
      </c>
      <c r="G104" s="39" t="n"/>
      <c r="H104" s="39" t="n"/>
      <c r="I104" s="41" t="n"/>
      <c r="J104" s="39" t="n"/>
    </row>
    <row r="105">
      <c r="A105" s="38" t="n"/>
      <c r="B105" s="39" t="n"/>
      <c r="C105" s="15">
        <f>IF($A105="","",CHOOSE($B105,"JAN","FEV","MAR","ABR","MAI","JUN","JUL","AGO","SET","OUT","NOV","DEZ"))</f>
        <v/>
      </c>
      <c r="D105" s="40">
        <f>IF($A105="","",IFERROR(IF(INDEX('Lançamento'!$B$6:$M$35,MATCH($A105,'Lançamento'!$A$6:$A$35,0),$B105)="","",INDEX('Lançamento'!$B$6:$M$35,MATCH($A105,'Lançamento'!$A$6:$A$35,0),$B105)),""))</f>
        <v/>
      </c>
      <c r="E105" s="12" t="n"/>
      <c r="F105" s="15">
        <f>IF($A105="","",IF(OR($D105="",$E105=""),"Digitar valor do print",IF(ABS($D105-$E105)&lt;=0.001,"✔ Confere","⚠ Divergente")))</f>
        <v/>
      </c>
      <c r="G105" s="39" t="n"/>
      <c r="H105" s="39" t="n"/>
      <c r="I105" s="41" t="n"/>
      <c r="J105" s="39" t="n"/>
    </row>
    <row r="106">
      <c r="A106" s="38" t="n"/>
      <c r="B106" s="39" t="n"/>
      <c r="C106" s="15">
        <f>IF($A106="","",CHOOSE($B106,"JAN","FEV","MAR","ABR","MAI","JUN","JUL","AGO","SET","OUT","NOV","DEZ"))</f>
        <v/>
      </c>
      <c r="D106" s="40">
        <f>IF($A106="","",IFERROR(IF(INDEX('Lançamento'!$B$6:$M$35,MATCH($A106,'Lançamento'!$A$6:$A$35,0),$B106)="","",INDEX('Lançamento'!$B$6:$M$35,MATCH($A106,'Lançamento'!$A$6:$A$35,0),$B106)),""))</f>
        <v/>
      </c>
      <c r="E106" s="12" t="n"/>
      <c r="F106" s="15">
        <f>IF($A106="","",IF(OR($D106="",$E106=""),"Digitar valor do print",IF(ABS($D106-$E106)&lt;=0.001,"✔ Confere","⚠ Divergente")))</f>
        <v/>
      </c>
      <c r="G106" s="39" t="n"/>
      <c r="H106" s="39" t="n"/>
      <c r="I106" s="41" t="n"/>
      <c r="J106" s="39" t="n"/>
    </row>
    <row r="107">
      <c r="A107" s="38" t="n"/>
      <c r="B107" s="39" t="n"/>
      <c r="C107" s="15">
        <f>IF($A107="","",CHOOSE($B107,"JAN","FEV","MAR","ABR","MAI","JUN","JUL","AGO","SET","OUT","NOV","DEZ"))</f>
        <v/>
      </c>
      <c r="D107" s="40">
        <f>IF($A107="","",IFERROR(IF(INDEX('Lançamento'!$B$6:$M$35,MATCH($A107,'Lançamento'!$A$6:$A$35,0),$B107)="","",INDEX('Lançamento'!$B$6:$M$35,MATCH($A107,'Lançamento'!$A$6:$A$35,0),$B107)),""))</f>
        <v/>
      </c>
      <c r="E107" s="12" t="n"/>
      <c r="F107" s="15">
        <f>IF($A107="","",IF(OR($D107="",$E107=""),"Digitar valor do print",IF(ABS($D107-$E107)&lt;=0.001,"✔ Confere","⚠ Divergente")))</f>
        <v/>
      </c>
      <c r="G107" s="39" t="n"/>
      <c r="H107" s="39" t="n"/>
      <c r="I107" s="41" t="n"/>
      <c r="J107" s="39" t="n"/>
    </row>
    <row r="108">
      <c r="A108" s="38" t="n"/>
      <c r="B108" s="39" t="n"/>
      <c r="C108" s="15">
        <f>IF($A108="","",CHOOSE($B108,"JAN","FEV","MAR","ABR","MAI","JUN","JUL","AGO","SET","OUT","NOV","DEZ"))</f>
        <v/>
      </c>
      <c r="D108" s="40">
        <f>IF($A108="","",IFERROR(IF(INDEX('Lançamento'!$B$6:$M$35,MATCH($A108,'Lançamento'!$A$6:$A$35,0),$B108)="","",INDEX('Lançamento'!$B$6:$M$35,MATCH($A108,'Lançamento'!$A$6:$A$35,0),$B108)),""))</f>
        <v/>
      </c>
      <c r="E108" s="12" t="n"/>
      <c r="F108" s="15">
        <f>IF($A108="","",IF(OR($D108="",$E108=""),"Digitar valor do print",IF(ABS($D108-$E108)&lt;=0.001,"✔ Confere","⚠ Divergente")))</f>
        <v/>
      </c>
      <c r="G108" s="39" t="n"/>
      <c r="H108" s="39" t="n"/>
      <c r="I108" s="41" t="n"/>
      <c r="J108" s="39" t="n"/>
    </row>
    <row r="109">
      <c r="A109" s="38" t="n"/>
      <c r="B109" s="39" t="n"/>
      <c r="C109" s="15">
        <f>IF($A109="","",CHOOSE($B109,"JAN","FEV","MAR","ABR","MAI","JUN","JUL","AGO","SET","OUT","NOV","DEZ"))</f>
        <v/>
      </c>
      <c r="D109" s="40">
        <f>IF($A109="","",IFERROR(IF(INDEX('Lançamento'!$B$6:$M$35,MATCH($A109,'Lançamento'!$A$6:$A$35,0),$B109)="","",INDEX('Lançamento'!$B$6:$M$35,MATCH($A109,'Lançamento'!$A$6:$A$35,0),$B109)),""))</f>
        <v/>
      </c>
      <c r="E109" s="12" t="n"/>
      <c r="F109" s="15">
        <f>IF($A109="","",IF(OR($D109="",$E109=""),"Digitar valor do print",IF(ABS($D109-$E109)&lt;=0.001,"✔ Confere","⚠ Divergente")))</f>
        <v/>
      </c>
      <c r="G109" s="39" t="n"/>
      <c r="H109" s="39" t="n"/>
      <c r="I109" s="41" t="n"/>
      <c r="J109" s="39" t="n"/>
    </row>
    <row r="110">
      <c r="A110" s="38" t="n"/>
      <c r="B110" s="39" t="n"/>
      <c r="C110" s="15">
        <f>IF($A110="","",CHOOSE($B110,"JAN","FEV","MAR","ABR","MAI","JUN","JUL","AGO","SET","OUT","NOV","DEZ"))</f>
        <v/>
      </c>
      <c r="D110" s="40">
        <f>IF($A110="","",IFERROR(IF(INDEX('Lançamento'!$B$6:$M$35,MATCH($A110,'Lançamento'!$A$6:$A$35,0),$B110)="","",INDEX('Lançamento'!$B$6:$M$35,MATCH($A110,'Lançamento'!$A$6:$A$35,0),$B110)),""))</f>
        <v/>
      </c>
      <c r="E110" s="12" t="n"/>
      <c r="F110" s="15">
        <f>IF($A110="","",IF(OR($D110="",$E110=""),"Digitar valor do print",IF(ABS($D110-$E110)&lt;=0.001,"✔ Confere","⚠ Divergente")))</f>
        <v/>
      </c>
      <c r="G110" s="39" t="n"/>
      <c r="H110" s="39" t="n"/>
      <c r="I110" s="41" t="n"/>
      <c r="J110" s="39" t="n"/>
    </row>
    <row r="111">
      <c r="A111" s="38" t="n"/>
      <c r="B111" s="39" t="n"/>
      <c r="C111" s="15">
        <f>IF($A111="","",CHOOSE($B111,"JAN","FEV","MAR","ABR","MAI","JUN","JUL","AGO","SET","OUT","NOV","DEZ"))</f>
        <v/>
      </c>
      <c r="D111" s="40">
        <f>IF($A111="","",IFERROR(IF(INDEX('Lançamento'!$B$6:$M$35,MATCH($A111,'Lançamento'!$A$6:$A$35,0),$B111)="","",INDEX('Lançamento'!$B$6:$M$35,MATCH($A111,'Lançamento'!$A$6:$A$35,0),$B111)),""))</f>
        <v/>
      </c>
      <c r="E111" s="12" t="n"/>
      <c r="F111" s="15">
        <f>IF($A111="","",IF(OR($D111="",$E111=""),"Digitar valor do print",IF(ABS($D111-$E111)&lt;=0.001,"✔ Confere","⚠ Divergente")))</f>
        <v/>
      </c>
      <c r="G111" s="39" t="n"/>
      <c r="H111" s="39" t="n"/>
      <c r="I111" s="41" t="n"/>
      <c r="J111" s="39" t="n"/>
    </row>
    <row r="112">
      <c r="A112" s="38" t="n"/>
      <c r="B112" s="39" t="n"/>
      <c r="C112" s="15">
        <f>IF($A112="","",CHOOSE($B112,"JAN","FEV","MAR","ABR","MAI","JUN","JUL","AGO","SET","OUT","NOV","DEZ"))</f>
        <v/>
      </c>
      <c r="D112" s="40">
        <f>IF($A112="","",IFERROR(IF(INDEX('Lançamento'!$B$6:$M$35,MATCH($A112,'Lançamento'!$A$6:$A$35,0),$B112)="","",INDEX('Lançamento'!$B$6:$M$35,MATCH($A112,'Lançamento'!$A$6:$A$35,0),$B112)),""))</f>
        <v/>
      </c>
      <c r="E112" s="12" t="n"/>
      <c r="F112" s="15">
        <f>IF($A112="","",IF(OR($D112="",$E112=""),"Digitar valor do print",IF(ABS($D112-$E112)&lt;=0.001,"✔ Confere","⚠ Divergente")))</f>
        <v/>
      </c>
      <c r="G112" s="39" t="n"/>
      <c r="H112" s="39" t="n"/>
      <c r="I112" s="41" t="n"/>
      <c r="J112" s="39" t="n"/>
    </row>
    <row r="113">
      <c r="A113" s="38" t="n"/>
      <c r="B113" s="39" t="n"/>
      <c r="C113" s="15">
        <f>IF($A113="","",CHOOSE($B113,"JAN","FEV","MAR","ABR","MAI","JUN","JUL","AGO","SET","OUT","NOV","DEZ"))</f>
        <v/>
      </c>
      <c r="D113" s="40">
        <f>IF($A113="","",IFERROR(IF(INDEX('Lançamento'!$B$6:$M$35,MATCH($A113,'Lançamento'!$A$6:$A$35,0),$B113)="","",INDEX('Lançamento'!$B$6:$M$35,MATCH($A113,'Lançamento'!$A$6:$A$35,0),$B113)),""))</f>
        <v/>
      </c>
      <c r="E113" s="12" t="n"/>
      <c r="F113" s="15">
        <f>IF($A113="","",IF(OR($D113="",$E113=""),"Digitar valor do print",IF(ABS($D113-$E113)&lt;=0.001,"✔ Confere","⚠ Divergente")))</f>
        <v/>
      </c>
      <c r="G113" s="39" t="n"/>
      <c r="H113" s="39" t="n"/>
      <c r="I113" s="41" t="n"/>
      <c r="J113" s="39" t="n"/>
    </row>
    <row r="114">
      <c r="A114" s="38" t="n"/>
      <c r="B114" s="39" t="n"/>
      <c r="C114" s="15">
        <f>IF($A114="","",CHOOSE($B114,"JAN","FEV","MAR","ABR","MAI","JUN","JUL","AGO","SET","OUT","NOV","DEZ"))</f>
        <v/>
      </c>
      <c r="D114" s="40">
        <f>IF($A114="","",IFERROR(IF(INDEX('Lançamento'!$B$6:$M$35,MATCH($A114,'Lançamento'!$A$6:$A$35,0),$B114)="","",INDEX('Lançamento'!$B$6:$M$35,MATCH($A114,'Lançamento'!$A$6:$A$35,0),$B114)),""))</f>
        <v/>
      </c>
      <c r="E114" s="12" t="n"/>
      <c r="F114" s="15">
        <f>IF($A114="","",IF(OR($D114="",$E114=""),"Digitar valor do print",IF(ABS($D114-$E114)&lt;=0.001,"✔ Confere","⚠ Divergente")))</f>
        <v/>
      </c>
      <c r="G114" s="39" t="n"/>
      <c r="H114" s="39" t="n"/>
      <c r="I114" s="41" t="n"/>
      <c r="J114" s="39" t="n"/>
    </row>
    <row r="115">
      <c r="A115" s="38" t="n"/>
      <c r="B115" s="39" t="n"/>
      <c r="C115" s="15">
        <f>IF($A115="","",CHOOSE($B115,"JAN","FEV","MAR","ABR","MAI","JUN","JUL","AGO","SET","OUT","NOV","DEZ"))</f>
        <v/>
      </c>
      <c r="D115" s="40">
        <f>IF($A115="","",IFERROR(IF(INDEX('Lançamento'!$B$6:$M$35,MATCH($A115,'Lançamento'!$A$6:$A$35,0),$B115)="","",INDEX('Lançamento'!$B$6:$M$35,MATCH($A115,'Lançamento'!$A$6:$A$35,0),$B115)),""))</f>
        <v/>
      </c>
      <c r="E115" s="12" t="n"/>
      <c r="F115" s="15">
        <f>IF($A115="","",IF(OR($D115="",$E115=""),"Digitar valor do print",IF(ABS($D115-$E115)&lt;=0.001,"✔ Confere","⚠ Divergente")))</f>
        <v/>
      </c>
      <c r="G115" s="39" t="n"/>
      <c r="H115" s="39" t="n"/>
      <c r="I115" s="41" t="n"/>
      <c r="J115" s="39" t="n"/>
    </row>
    <row r="116">
      <c r="A116" s="38" t="n"/>
      <c r="B116" s="39" t="n"/>
      <c r="C116" s="15">
        <f>IF($A116="","",CHOOSE($B116,"JAN","FEV","MAR","ABR","MAI","JUN","JUL","AGO","SET","OUT","NOV","DEZ"))</f>
        <v/>
      </c>
      <c r="D116" s="40">
        <f>IF($A116="","",IFERROR(IF(INDEX('Lançamento'!$B$6:$M$35,MATCH($A116,'Lançamento'!$A$6:$A$35,0),$B116)="","",INDEX('Lançamento'!$B$6:$M$35,MATCH($A116,'Lançamento'!$A$6:$A$35,0),$B116)),""))</f>
        <v/>
      </c>
      <c r="E116" s="12" t="n"/>
      <c r="F116" s="15">
        <f>IF($A116="","",IF(OR($D116="",$E116=""),"Digitar valor do print",IF(ABS($D116-$E116)&lt;=0.001,"✔ Confere","⚠ Divergente")))</f>
        <v/>
      </c>
      <c r="G116" s="39" t="n"/>
      <c r="H116" s="39" t="n"/>
      <c r="I116" s="41" t="n"/>
      <c r="J116" s="39" t="n"/>
    </row>
    <row r="117">
      <c r="A117" s="38" t="n"/>
      <c r="B117" s="39" t="n"/>
      <c r="C117" s="15">
        <f>IF($A117="","",CHOOSE($B117,"JAN","FEV","MAR","ABR","MAI","JUN","JUL","AGO","SET","OUT","NOV","DEZ"))</f>
        <v/>
      </c>
      <c r="D117" s="40">
        <f>IF($A117="","",IFERROR(IF(INDEX('Lançamento'!$B$6:$M$35,MATCH($A117,'Lançamento'!$A$6:$A$35,0),$B117)="","",INDEX('Lançamento'!$B$6:$M$35,MATCH($A117,'Lançamento'!$A$6:$A$35,0),$B117)),""))</f>
        <v/>
      </c>
      <c r="E117" s="12" t="n"/>
      <c r="F117" s="15">
        <f>IF($A117="","",IF(OR($D117="",$E117=""),"Digitar valor do print",IF(ABS($D117-$E117)&lt;=0.001,"✔ Confere","⚠ Divergente")))</f>
        <v/>
      </c>
      <c r="G117" s="39" t="n"/>
      <c r="H117" s="39" t="n"/>
      <c r="I117" s="41" t="n"/>
      <c r="J117" s="39" t="n"/>
    </row>
    <row r="118">
      <c r="A118" s="38" t="n"/>
      <c r="B118" s="39" t="n"/>
      <c r="C118" s="15">
        <f>IF($A118="","",CHOOSE($B118,"JAN","FEV","MAR","ABR","MAI","JUN","JUL","AGO","SET","OUT","NOV","DEZ"))</f>
        <v/>
      </c>
      <c r="D118" s="40">
        <f>IF($A118="","",IFERROR(IF(INDEX('Lançamento'!$B$6:$M$35,MATCH($A118,'Lançamento'!$A$6:$A$35,0),$B118)="","",INDEX('Lançamento'!$B$6:$M$35,MATCH($A118,'Lançamento'!$A$6:$A$35,0),$B118)),""))</f>
        <v/>
      </c>
      <c r="E118" s="12" t="n"/>
      <c r="F118" s="15">
        <f>IF($A118="","",IF(OR($D118="",$E118=""),"Digitar valor do print",IF(ABS($D118-$E118)&lt;=0.001,"✔ Confere","⚠ Divergente")))</f>
        <v/>
      </c>
      <c r="G118" s="39" t="n"/>
      <c r="H118" s="39" t="n"/>
      <c r="I118" s="41" t="n"/>
      <c r="J118" s="39" t="n"/>
    </row>
    <row r="119">
      <c r="A119" s="38" t="n"/>
      <c r="B119" s="39" t="n"/>
      <c r="C119" s="15">
        <f>IF($A119="","",CHOOSE($B119,"JAN","FEV","MAR","ABR","MAI","JUN","JUL","AGO","SET","OUT","NOV","DEZ"))</f>
        <v/>
      </c>
      <c r="D119" s="40">
        <f>IF($A119="","",IFERROR(IF(INDEX('Lançamento'!$B$6:$M$35,MATCH($A119,'Lançamento'!$A$6:$A$35,0),$B119)="","",INDEX('Lançamento'!$B$6:$M$35,MATCH($A119,'Lançamento'!$A$6:$A$35,0),$B119)),""))</f>
        <v/>
      </c>
      <c r="E119" s="12" t="n"/>
      <c r="F119" s="15">
        <f>IF($A119="","",IF(OR($D119="",$E119=""),"Digitar valor do print",IF(ABS($D119-$E119)&lt;=0.001,"✔ Confere","⚠ Divergente")))</f>
        <v/>
      </c>
      <c r="G119" s="39" t="n"/>
      <c r="H119" s="39" t="n"/>
      <c r="I119" s="41" t="n"/>
      <c r="J119" s="39" t="n"/>
    </row>
    <row r="120">
      <c r="A120" s="38" t="n"/>
      <c r="B120" s="39" t="n"/>
      <c r="C120" s="15">
        <f>IF($A120="","",CHOOSE($B120,"JAN","FEV","MAR","ABR","MAI","JUN","JUL","AGO","SET","OUT","NOV","DEZ"))</f>
        <v/>
      </c>
      <c r="D120" s="40">
        <f>IF($A120="","",IFERROR(IF(INDEX('Lançamento'!$B$6:$M$35,MATCH($A120,'Lançamento'!$A$6:$A$35,0),$B120)="","",INDEX('Lançamento'!$B$6:$M$35,MATCH($A120,'Lançamento'!$A$6:$A$35,0),$B120)),""))</f>
        <v/>
      </c>
      <c r="E120" s="12" t="n"/>
      <c r="F120" s="15">
        <f>IF($A120="","",IF(OR($D120="",$E120=""),"Digitar valor do print",IF(ABS($D120-$E120)&lt;=0.001,"✔ Confere","⚠ Divergente")))</f>
        <v/>
      </c>
      <c r="G120" s="39" t="n"/>
      <c r="H120" s="39" t="n"/>
      <c r="I120" s="41" t="n"/>
      <c r="J120" s="39" t="n"/>
    </row>
    <row r="121">
      <c r="A121" s="38" t="n"/>
      <c r="B121" s="39" t="n"/>
      <c r="C121" s="15">
        <f>IF($A121="","",CHOOSE($B121,"JAN","FEV","MAR","ABR","MAI","JUN","JUL","AGO","SET","OUT","NOV","DEZ"))</f>
        <v/>
      </c>
      <c r="D121" s="40">
        <f>IF($A121="","",IFERROR(IF(INDEX('Lançamento'!$B$6:$M$35,MATCH($A121,'Lançamento'!$A$6:$A$35,0),$B121)="","",INDEX('Lançamento'!$B$6:$M$35,MATCH($A121,'Lançamento'!$A$6:$A$35,0),$B121)),""))</f>
        <v/>
      </c>
      <c r="E121" s="12" t="n"/>
      <c r="F121" s="15">
        <f>IF($A121="","",IF(OR($D121="",$E121=""),"Digitar valor do print",IF(ABS($D121-$E121)&lt;=0.001,"✔ Confere","⚠ Divergente")))</f>
        <v/>
      </c>
      <c r="G121" s="39" t="n"/>
      <c r="H121" s="39" t="n"/>
      <c r="I121" s="41" t="n"/>
      <c r="J121" s="39" t="n"/>
    </row>
    <row r="122">
      <c r="A122" s="38" t="n"/>
      <c r="B122" s="39" t="n"/>
      <c r="C122" s="15">
        <f>IF($A122="","",CHOOSE($B122,"JAN","FEV","MAR","ABR","MAI","JUN","JUL","AGO","SET","OUT","NOV","DEZ"))</f>
        <v/>
      </c>
      <c r="D122" s="40">
        <f>IF($A122="","",IFERROR(IF(INDEX('Lançamento'!$B$6:$M$35,MATCH($A122,'Lançamento'!$A$6:$A$35,0),$B122)="","",INDEX('Lançamento'!$B$6:$M$35,MATCH($A122,'Lançamento'!$A$6:$A$35,0),$B122)),""))</f>
        <v/>
      </c>
      <c r="E122" s="12" t="n"/>
      <c r="F122" s="15">
        <f>IF($A122="","",IF(OR($D122="",$E122=""),"Digitar valor do print",IF(ABS($D122-$E122)&lt;=0.001,"✔ Confere","⚠ Divergente")))</f>
        <v/>
      </c>
      <c r="G122" s="39" t="n"/>
      <c r="H122" s="39" t="n"/>
      <c r="I122" s="41" t="n"/>
      <c r="J122" s="39" t="n"/>
    </row>
    <row r="123">
      <c r="A123" s="38" t="n"/>
      <c r="B123" s="39" t="n"/>
      <c r="C123" s="15">
        <f>IF($A123="","",CHOOSE($B123,"JAN","FEV","MAR","ABR","MAI","JUN","JUL","AGO","SET","OUT","NOV","DEZ"))</f>
        <v/>
      </c>
      <c r="D123" s="40">
        <f>IF($A123="","",IFERROR(IF(INDEX('Lançamento'!$B$6:$M$35,MATCH($A123,'Lançamento'!$A$6:$A$35,0),$B123)="","",INDEX('Lançamento'!$B$6:$M$35,MATCH($A123,'Lançamento'!$A$6:$A$35,0),$B123)),""))</f>
        <v/>
      </c>
      <c r="E123" s="12" t="n"/>
      <c r="F123" s="15">
        <f>IF($A123="","",IF(OR($D123="",$E123=""),"Digitar valor do print",IF(ABS($D123-$E123)&lt;=0.001,"✔ Confere","⚠ Divergente")))</f>
        <v/>
      </c>
      <c r="G123" s="39" t="n"/>
      <c r="H123" s="39" t="n"/>
      <c r="I123" s="41" t="n"/>
      <c r="J123" s="39" t="n"/>
    </row>
    <row r="124">
      <c r="A124" s="38" t="n"/>
      <c r="B124" s="39" t="n"/>
      <c r="C124" s="15">
        <f>IF($A124="","",CHOOSE($B124,"JAN","FEV","MAR","ABR","MAI","JUN","JUL","AGO","SET","OUT","NOV","DEZ"))</f>
        <v/>
      </c>
      <c r="D124" s="40">
        <f>IF($A124="","",IFERROR(IF(INDEX('Lançamento'!$B$6:$M$35,MATCH($A124,'Lançamento'!$A$6:$A$35,0),$B124)="","",INDEX('Lançamento'!$B$6:$M$35,MATCH($A124,'Lançamento'!$A$6:$A$35,0),$B124)),""))</f>
        <v/>
      </c>
      <c r="E124" s="12" t="n"/>
      <c r="F124" s="15">
        <f>IF($A124="","",IF(OR($D124="",$E124=""),"Digitar valor do print",IF(ABS($D124-$E124)&lt;=0.001,"✔ Confere","⚠ Divergente")))</f>
        <v/>
      </c>
      <c r="G124" s="39" t="n"/>
      <c r="H124" s="39" t="n"/>
      <c r="I124" s="41" t="n"/>
      <c r="J124" s="39" t="n"/>
    </row>
    <row r="125">
      <c r="A125" s="38" t="n"/>
      <c r="B125" s="39" t="n"/>
      <c r="C125" s="15">
        <f>IF($A125="","",CHOOSE($B125,"JAN","FEV","MAR","ABR","MAI","JUN","JUL","AGO","SET","OUT","NOV","DEZ"))</f>
        <v/>
      </c>
      <c r="D125" s="40">
        <f>IF($A125="","",IFERROR(IF(INDEX('Lançamento'!$B$6:$M$35,MATCH($A125,'Lançamento'!$A$6:$A$35,0),$B125)="","",INDEX('Lançamento'!$B$6:$M$35,MATCH($A125,'Lançamento'!$A$6:$A$35,0),$B125)),""))</f>
        <v/>
      </c>
      <c r="E125" s="12" t="n"/>
      <c r="F125" s="15">
        <f>IF($A125="","",IF(OR($D125="",$E125=""),"Digitar valor do print",IF(ABS($D125-$E125)&lt;=0.001,"✔ Confere","⚠ Divergente")))</f>
        <v/>
      </c>
      <c r="G125" s="39" t="n"/>
      <c r="H125" s="39" t="n"/>
      <c r="I125" s="41" t="n"/>
      <c r="J125" s="39" t="n"/>
    </row>
    <row r="126">
      <c r="A126" s="38" t="n"/>
      <c r="B126" s="39" t="n"/>
      <c r="C126" s="15">
        <f>IF($A126="","",CHOOSE($B126,"JAN","FEV","MAR","ABR","MAI","JUN","JUL","AGO","SET","OUT","NOV","DEZ"))</f>
        <v/>
      </c>
      <c r="D126" s="40">
        <f>IF($A126="","",IFERROR(IF(INDEX('Lançamento'!$B$6:$M$35,MATCH($A126,'Lançamento'!$A$6:$A$35,0),$B126)="","",INDEX('Lançamento'!$B$6:$M$35,MATCH($A126,'Lançamento'!$A$6:$A$35,0),$B126)),""))</f>
        <v/>
      </c>
      <c r="E126" s="12" t="n"/>
      <c r="F126" s="15">
        <f>IF($A126="","",IF(OR($D126="",$E126=""),"Digitar valor do print",IF(ABS($D126-$E126)&lt;=0.001,"✔ Confere","⚠ Divergente")))</f>
        <v/>
      </c>
      <c r="G126" s="39" t="n"/>
      <c r="H126" s="39" t="n"/>
      <c r="I126" s="41" t="n"/>
      <c r="J126" s="39" t="n"/>
    </row>
    <row r="127">
      <c r="A127" s="38" t="n"/>
      <c r="B127" s="39" t="n"/>
      <c r="C127" s="15">
        <f>IF($A127="","",CHOOSE($B127,"JAN","FEV","MAR","ABR","MAI","JUN","JUL","AGO","SET","OUT","NOV","DEZ"))</f>
        <v/>
      </c>
      <c r="D127" s="40">
        <f>IF($A127="","",IFERROR(IF(INDEX('Lançamento'!$B$6:$M$35,MATCH($A127,'Lançamento'!$A$6:$A$35,0),$B127)="","",INDEX('Lançamento'!$B$6:$M$35,MATCH($A127,'Lançamento'!$A$6:$A$35,0),$B127)),""))</f>
        <v/>
      </c>
      <c r="E127" s="12" t="n"/>
      <c r="F127" s="15">
        <f>IF($A127="","",IF(OR($D127="",$E127=""),"Digitar valor do print",IF(ABS($D127-$E127)&lt;=0.001,"✔ Confere","⚠ Divergente")))</f>
        <v/>
      </c>
      <c r="G127" s="39" t="n"/>
      <c r="H127" s="39" t="n"/>
      <c r="I127" s="41" t="n"/>
      <c r="J127" s="39" t="n"/>
    </row>
    <row r="128">
      <c r="A128" s="38" t="n"/>
      <c r="B128" s="39" t="n"/>
      <c r="C128" s="15">
        <f>IF($A128="","",CHOOSE($B128,"JAN","FEV","MAR","ABR","MAI","JUN","JUL","AGO","SET","OUT","NOV","DEZ"))</f>
        <v/>
      </c>
      <c r="D128" s="40">
        <f>IF($A128="","",IFERROR(IF(INDEX('Lançamento'!$B$6:$M$35,MATCH($A128,'Lançamento'!$A$6:$A$35,0),$B128)="","",INDEX('Lançamento'!$B$6:$M$35,MATCH($A128,'Lançamento'!$A$6:$A$35,0),$B128)),""))</f>
        <v/>
      </c>
      <c r="E128" s="12" t="n"/>
      <c r="F128" s="15">
        <f>IF($A128="","",IF(OR($D128="",$E128=""),"Digitar valor do print",IF(ABS($D128-$E128)&lt;=0.001,"✔ Confere","⚠ Divergente")))</f>
        <v/>
      </c>
      <c r="G128" s="39" t="n"/>
      <c r="H128" s="39" t="n"/>
      <c r="I128" s="41" t="n"/>
      <c r="J128" s="39" t="n"/>
    </row>
    <row r="129">
      <c r="A129" s="38" t="n"/>
      <c r="B129" s="39" t="n"/>
      <c r="C129" s="15">
        <f>IF($A129="","",CHOOSE($B129,"JAN","FEV","MAR","ABR","MAI","JUN","JUL","AGO","SET","OUT","NOV","DEZ"))</f>
        <v/>
      </c>
      <c r="D129" s="40">
        <f>IF($A129="","",IFERROR(IF(INDEX('Lançamento'!$B$6:$M$35,MATCH($A129,'Lançamento'!$A$6:$A$35,0),$B129)="","",INDEX('Lançamento'!$B$6:$M$35,MATCH($A129,'Lançamento'!$A$6:$A$35,0),$B129)),""))</f>
        <v/>
      </c>
      <c r="E129" s="12" t="n"/>
      <c r="F129" s="15">
        <f>IF($A129="","",IF(OR($D129="",$E129=""),"Digitar valor do print",IF(ABS($D129-$E129)&lt;=0.001,"✔ Confere","⚠ Divergente")))</f>
        <v/>
      </c>
      <c r="G129" s="39" t="n"/>
      <c r="H129" s="39" t="n"/>
      <c r="I129" s="41" t="n"/>
      <c r="J129" s="39" t="n"/>
    </row>
    <row r="130">
      <c r="A130" s="38" t="n"/>
      <c r="B130" s="39" t="n"/>
      <c r="C130" s="15">
        <f>IF($A130="","",CHOOSE($B130,"JAN","FEV","MAR","ABR","MAI","JUN","JUL","AGO","SET","OUT","NOV","DEZ"))</f>
        <v/>
      </c>
      <c r="D130" s="40">
        <f>IF($A130="","",IFERROR(IF(INDEX('Lançamento'!$B$6:$M$35,MATCH($A130,'Lançamento'!$A$6:$A$35,0),$B130)="","",INDEX('Lançamento'!$B$6:$M$35,MATCH($A130,'Lançamento'!$A$6:$A$35,0),$B130)),""))</f>
        <v/>
      </c>
      <c r="E130" s="12" t="n"/>
      <c r="F130" s="15">
        <f>IF($A130="","",IF(OR($D130="",$E130=""),"Digitar valor do print",IF(ABS($D130-$E130)&lt;=0.001,"✔ Confere","⚠ Divergente")))</f>
        <v/>
      </c>
      <c r="G130" s="39" t="n"/>
      <c r="H130" s="39" t="n"/>
      <c r="I130" s="41" t="n"/>
      <c r="J130" s="39" t="n"/>
    </row>
    <row r="131">
      <c r="A131" s="38" t="n"/>
      <c r="B131" s="39" t="n"/>
      <c r="C131" s="15">
        <f>IF($A131="","",CHOOSE($B131,"JAN","FEV","MAR","ABR","MAI","JUN","JUL","AGO","SET","OUT","NOV","DEZ"))</f>
        <v/>
      </c>
      <c r="D131" s="40">
        <f>IF($A131="","",IFERROR(IF(INDEX('Lançamento'!$B$6:$M$35,MATCH($A131,'Lançamento'!$A$6:$A$35,0),$B131)="","",INDEX('Lançamento'!$B$6:$M$35,MATCH($A131,'Lançamento'!$A$6:$A$35,0),$B131)),""))</f>
        <v/>
      </c>
      <c r="E131" s="12" t="n"/>
      <c r="F131" s="15">
        <f>IF($A131="","",IF(OR($D131="",$E131=""),"Digitar valor do print",IF(ABS($D131-$E131)&lt;=0.001,"✔ Confere","⚠ Divergente")))</f>
        <v/>
      </c>
      <c r="G131" s="39" t="n"/>
      <c r="H131" s="39" t="n"/>
      <c r="I131" s="41" t="n"/>
      <c r="J131" s="39" t="n"/>
    </row>
    <row r="132">
      <c r="A132" s="38" t="n"/>
      <c r="B132" s="39" t="n"/>
      <c r="C132" s="15">
        <f>IF($A132="","",CHOOSE($B132,"JAN","FEV","MAR","ABR","MAI","JUN","JUL","AGO","SET","OUT","NOV","DEZ"))</f>
        <v/>
      </c>
      <c r="D132" s="40">
        <f>IF($A132="","",IFERROR(IF(INDEX('Lançamento'!$B$6:$M$35,MATCH($A132,'Lançamento'!$A$6:$A$35,0),$B132)="","",INDEX('Lançamento'!$B$6:$M$35,MATCH($A132,'Lançamento'!$A$6:$A$35,0),$B132)),""))</f>
        <v/>
      </c>
      <c r="E132" s="12" t="n"/>
      <c r="F132" s="15">
        <f>IF($A132="","",IF(OR($D132="",$E132=""),"Digitar valor do print",IF(ABS($D132-$E132)&lt;=0.001,"✔ Confere","⚠ Divergente")))</f>
        <v/>
      </c>
      <c r="G132" s="39" t="n"/>
      <c r="H132" s="39" t="n"/>
      <c r="I132" s="41" t="n"/>
      <c r="J132" s="39" t="n"/>
    </row>
    <row r="133">
      <c r="A133" s="38" t="n"/>
      <c r="B133" s="39" t="n"/>
      <c r="C133" s="15">
        <f>IF($A133="","",CHOOSE($B133,"JAN","FEV","MAR","ABR","MAI","JUN","JUL","AGO","SET","OUT","NOV","DEZ"))</f>
        <v/>
      </c>
      <c r="D133" s="40">
        <f>IF($A133="","",IFERROR(IF(INDEX('Lançamento'!$B$6:$M$35,MATCH($A133,'Lançamento'!$A$6:$A$35,0),$B133)="","",INDEX('Lançamento'!$B$6:$M$35,MATCH($A133,'Lançamento'!$A$6:$A$35,0),$B133)),""))</f>
        <v/>
      </c>
      <c r="E133" s="12" t="n"/>
      <c r="F133" s="15">
        <f>IF($A133="","",IF(OR($D133="",$E133=""),"Digitar valor do print",IF(ABS($D133-$E133)&lt;=0.001,"✔ Confere","⚠ Divergente")))</f>
        <v/>
      </c>
      <c r="G133" s="39" t="n"/>
      <c r="H133" s="39" t="n"/>
      <c r="I133" s="41" t="n"/>
      <c r="J133" s="39" t="n"/>
    </row>
    <row r="134">
      <c r="A134" s="38" t="n"/>
      <c r="B134" s="39" t="n"/>
      <c r="C134" s="15">
        <f>IF($A134="","",CHOOSE($B134,"JAN","FEV","MAR","ABR","MAI","JUN","JUL","AGO","SET","OUT","NOV","DEZ"))</f>
        <v/>
      </c>
      <c r="D134" s="40">
        <f>IF($A134="","",IFERROR(IF(INDEX('Lançamento'!$B$6:$M$35,MATCH($A134,'Lançamento'!$A$6:$A$35,0),$B134)="","",INDEX('Lançamento'!$B$6:$M$35,MATCH($A134,'Lançamento'!$A$6:$A$35,0),$B134)),""))</f>
        <v/>
      </c>
      <c r="E134" s="12" t="n"/>
      <c r="F134" s="15">
        <f>IF($A134="","",IF(OR($D134="",$E134=""),"Digitar valor do print",IF(ABS($D134-$E134)&lt;=0.001,"✔ Confere","⚠ Divergente")))</f>
        <v/>
      </c>
      <c r="G134" s="39" t="n"/>
      <c r="H134" s="39" t="n"/>
      <c r="I134" s="41" t="n"/>
      <c r="J134" s="39" t="n"/>
    </row>
    <row r="135">
      <c r="A135" s="38" t="n"/>
      <c r="B135" s="39" t="n"/>
      <c r="C135" s="15">
        <f>IF($A135="","",CHOOSE($B135,"JAN","FEV","MAR","ABR","MAI","JUN","JUL","AGO","SET","OUT","NOV","DEZ"))</f>
        <v/>
      </c>
      <c r="D135" s="40">
        <f>IF($A135="","",IFERROR(IF(INDEX('Lançamento'!$B$6:$M$35,MATCH($A135,'Lançamento'!$A$6:$A$35,0),$B135)="","",INDEX('Lançamento'!$B$6:$M$35,MATCH($A135,'Lançamento'!$A$6:$A$35,0),$B135)),""))</f>
        <v/>
      </c>
      <c r="E135" s="12" t="n"/>
      <c r="F135" s="15">
        <f>IF($A135="","",IF(OR($D135="",$E135=""),"Digitar valor do print",IF(ABS($D135-$E135)&lt;=0.001,"✔ Confere","⚠ Divergente")))</f>
        <v/>
      </c>
      <c r="G135" s="39" t="n"/>
      <c r="H135" s="39" t="n"/>
      <c r="I135" s="41" t="n"/>
      <c r="J135" s="39" t="n"/>
    </row>
    <row r="136">
      <c r="A136" s="38" t="n"/>
      <c r="B136" s="39" t="n"/>
      <c r="C136" s="15">
        <f>IF($A136="","",CHOOSE($B136,"JAN","FEV","MAR","ABR","MAI","JUN","JUL","AGO","SET","OUT","NOV","DEZ"))</f>
        <v/>
      </c>
      <c r="D136" s="40">
        <f>IF($A136="","",IFERROR(IF(INDEX('Lançamento'!$B$6:$M$35,MATCH($A136,'Lançamento'!$A$6:$A$35,0),$B136)="","",INDEX('Lançamento'!$B$6:$M$35,MATCH($A136,'Lançamento'!$A$6:$A$35,0),$B136)),""))</f>
        <v/>
      </c>
      <c r="E136" s="12" t="n"/>
      <c r="F136" s="15">
        <f>IF($A136="","",IF(OR($D136="",$E136=""),"Digitar valor do print",IF(ABS($D136-$E136)&lt;=0.001,"✔ Confere","⚠ Divergente")))</f>
        <v/>
      </c>
      <c r="G136" s="39" t="n"/>
      <c r="H136" s="39" t="n"/>
      <c r="I136" s="41" t="n"/>
      <c r="J136" s="39" t="n"/>
    </row>
    <row r="137">
      <c r="A137" s="38" t="n"/>
      <c r="B137" s="39" t="n"/>
      <c r="C137" s="15">
        <f>IF($A137="","",CHOOSE($B137,"JAN","FEV","MAR","ABR","MAI","JUN","JUL","AGO","SET","OUT","NOV","DEZ"))</f>
        <v/>
      </c>
      <c r="D137" s="40">
        <f>IF($A137="","",IFERROR(IF(INDEX('Lançamento'!$B$6:$M$35,MATCH($A137,'Lançamento'!$A$6:$A$35,0),$B137)="","",INDEX('Lançamento'!$B$6:$M$35,MATCH($A137,'Lançamento'!$A$6:$A$35,0),$B137)),""))</f>
        <v/>
      </c>
      <c r="E137" s="12" t="n"/>
      <c r="F137" s="15">
        <f>IF($A137="","",IF(OR($D137="",$E137=""),"Digitar valor do print",IF(ABS($D137-$E137)&lt;=0.001,"✔ Confere","⚠ Divergente")))</f>
        <v/>
      </c>
      <c r="G137" s="39" t="n"/>
      <c r="H137" s="39" t="n"/>
      <c r="I137" s="41" t="n"/>
      <c r="J137" s="39" t="n"/>
    </row>
    <row r="138">
      <c r="A138" s="38" t="n"/>
      <c r="B138" s="39" t="n"/>
      <c r="C138" s="15">
        <f>IF($A138="","",CHOOSE($B138,"JAN","FEV","MAR","ABR","MAI","JUN","JUL","AGO","SET","OUT","NOV","DEZ"))</f>
        <v/>
      </c>
      <c r="D138" s="40">
        <f>IF($A138="","",IFERROR(IF(INDEX('Lançamento'!$B$6:$M$35,MATCH($A138,'Lançamento'!$A$6:$A$35,0),$B138)="","",INDEX('Lançamento'!$B$6:$M$35,MATCH($A138,'Lançamento'!$A$6:$A$35,0),$B138)),""))</f>
        <v/>
      </c>
      <c r="E138" s="12" t="n"/>
      <c r="F138" s="15">
        <f>IF($A138="","",IF(OR($D138="",$E138=""),"Digitar valor do print",IF(ABS($D138-$E138)&lt;=0.001,"✔ Confere","⚠ Divergente")))</f>
        <v/>
      </c>
      <c r="G138" s="39" t="n"/>
      <c r="H138" s="39" t="n"/>
      <c r="I138" s="41" t="n"/>
      <c r="J138" s="39" t="n"/>
    </row>
    <row r="139">
      <c r="A139" s="38" t="n"/>
      <c r="B139" s="39" t="n"/>
      <c r="C139" s="15">
        <f>IF($A139="","",CHOOSE($B139,"JAN","FEV","MAR","ABR","MAI","JUN","JUL","AGO","SET","OUT","NOV","DEZ"))</f>
        <v/>
      </c>
      <c r="D139" s="40">
        <f>IF($A139="","",IFERROR(IF(INDEX('Lançamento'!$B$6:$M$35,MATCH($A139,'Lançamento'!$A$6:$A$35,0),$B139)="","",INDEX('Lançamento'!$B$6:$M$35,MATCH($A139,'Lançamento'!$A$6:$A$35,0),$B139)),""))</f>
        <v/>
      </c>
      <c r="E139" s="12" t="n"/>
      <c r="F139" s="15">
        <f>IF($A139="","",IF(OR($D139="",$E139=""),"Digitar valor do print",IF(ABS($D139-$E139)&lt;=0.001,"✔ Confere","⚠ Divergente")))</f>
        <v/>
      </c>
      <c r="G139" s="39" t="n"/>
      <c r="H139" s="39" t="n"/>
      <c r="I139" s="41" t="n"/>
      <c r="J139" s="39" t="n"/>
    </row>
    <row r="140">
      <c r="A140" s="38" t="n"/>
      <c r="B140" s="39" t="n"/>
      <c r="C140" s="15">
        <f>IF($A140="","",CHOOSE($B140,"JAN","FEV","MAR","ABR","MAI","JUN","JUL","AGO","SET","OUT","NOV","DEZ"))</f>
        <v/>
      </c>
      <c r="D140" s="40">
        <f>IF($A140="","",IFERROR(IF(INDEX('Lançamento'!$B$6:$M$35,MATCH($A140,'Lançamento'!$A$6:$A$35,0),$B140)="","",INDEX('Lançamento'!$B$6:$M$35,MATCH($A140,'Lançamento'!$A$6:$A$35,0),$B140)),""))</f>
        <v/>
      </c>
      <c r="E140" s="12" t="n"/>
      <c r="F140" s="15">
        <f>IF($A140="","",IF(OR($D140="",$E140=""),"Digitar valor do print",IF(ABS($D140-$E140)&lt;=0.001,"✔ Confere","⚠ Divergente")))</f>
        <v/>
      </c>
      <c r="G140" s="39" t="n"/>
      <c r="H140" s="39" t="n"/>
      <c r="I140" s="41" t="n"/>
      <c r="J140" s="39" t="n"/>
    </row>
    <row r="141">
      <c r="A141" s="38" t="n"/>
      <c r="B141" s="39" t="n"/>
      <c r="C141" s="15">
        <f>IF($A141="","",CHOOSE($B141,"JAN","FEV","MAR","ABR","MAI","JUN","JUL","AGO","SET","OUT","NOV","DEZ"))</f>
        <v/>
      </c>
      <c r="D141" s="40">
        <f>IF($A141="","",IFERROR(IF(INDEX('Lançamento'!$B$6:$M$35,MATCH($A141,'Lançamento'!$A$6:$A$35,0),$B141)="","",INDEX('Lançamento'!$B$6:$M$35,MATCH($A141,'Lançamento'!$A$6:$A$35,0),$B141)),""))</f>
        <v/>
      </c>
      <c r="E141" s="12" t="n"/>
      <c r="F141" s="15">
        <f>IF($A141="","",IF(OR($D141="",$E141=""),"Digitar valor do print",IF(ABS($D141-$E141)&lt;=0.001,"✔ Confere","⚠ Divergente")))</f>
        <v/>
      </c>
      <c r="G141" s="39" t="n"/>
      <c r="H141" s="39" t="n"/>
      <c r="I141" s="41" t="n"/>
      <c r="J141" s="39" t="n"/>
    </row>
    <row r="142">
      <c r="A142" s="38" t="n"/>
      <c r="B142" s="39" t="n"/>
      <c r="C142" s="15">
        <f>IF($A142="","",CHOOSE($B142,"JAN","FEV","MAR","ABR","MAI","JUN","JUL","AGO","SET","OUT","NOV","DEZ"))</f>
        <v/>
      </c>
      <c r="D142" s="40">
        <f>IF($A142="","",IFERROR(IF(INDEX('Lançamento'!$B$6:$M$35,MATCH($A142,'Lançamento'!$A$6:$A$35,0),$B142)="","",INDEX('Lançamento'!$B$6:$M$35,MATCH($A142,'Lançamento'!$A$6:$A$35,0),$B142)),""))</f>
        <v/>
      </c>
      <c r="E142" s="12" t="n"/>
      <c r="F142" s="15">
        <f>IF($A142="","",IF(OR($D142="",$E142=""),"Digitar valor do print",IF(ABS($D142-$E142)&lt;=0.001,"✔ Confere","⚠ Divergente")))</f>
        <v/>
      </c>
      <c r="G142" s="39" t="n"/>
      <c r="H142" s="39" t="n"/>
      <c r="I142" s="41" t="n"/>
      <c r="J142" s="39" t="n"/>
    </row>
    <row r="143">
      <c r="A143" s="38" t="n"/>
      <c r="B143" s="39" t="n"/>
      <c r="C143" s="15">
        <f>IF($A143="","",CHOOSE($B143,"JAN","FEV","MAR","ABR","MAI","JUN","JUL","AGO","SET","OUT","NOV","DEZ"))</f>
        <v/>
      </c>
      <c r="D143" s="40">
        <f>IF($A143="","",IFERROR(IF(INDEX('Lançamento'!$B$6:$M$35,MATCH($A143,'Lançamento'!$A$6:$A$35,0),$B143)="","",INDEX('Lançamento'!$B$6:$M$35,MATCH($A143,'Lançamento'!$A$6:$A$35,0),$B143)),""))</f>
        <v/>
      </c>
      <c r="E143" s="12" t="n"/>
      <c r="F143" s="15">
        <f>IF($A143="","",IF(OR($D143="",$E143=""),"Digitar valor do print",IF(ABS($D143-$E143)&lt;=0.001,"✔ Confere","⚠ Divergente")))</f>
        <v/>
      </c>
      <c r="G143" s="39" t="n"/>
      <c r="H143" s="39" t="n"/>
      <c r="I143" s="41" t="n"/>
      <c r="J143" s="39" t="n"/>
    </row>
    <row r="144">
      <c r="A144" s="38" t="n"/>
      <c r="B144" s="39" t="n"/>
      <c r="C144" s="15">
        <f>IF($A144="","",CHOOSE($B144,"JAN","FEV","MAR","ABR","MAI","JUN","JUL","AGO","SET","OUT","NOV","DEZ"))</f>
        <v/>
      </c>
      <c r="D144" s="40">
        <f>IF($A144="","",IFERROR(IF(INDEX('Lançamento'!$B$6:$M$35,MATCH($A144,'Lançamento'!$A$6:$A$35,0),$B144)="","",INDEX('Lançamento'!$B$6:$M$35,MATCH($A144,'Lançamento'!$A$6:$A$35,0),$B144)),""))</f>
        <v/>
      </c>
      <c r="E144" s="12" t="n"/>
      <c r="F144" s="15">
        <f>IF($A144="","",IF(OR($D144="",$E144=""),"Digitar valor do print",IF(ABS($D144-$E144)&lt;=0.001,"✔ Confere","⚠ Divergente")))</f>
        <v/>
      </c>
      <c r="G144" s="39" t="n"/>
      <c r="H144" s="39" t="n"/>
      <c r="I144" s="41" t="n"/>
      <c r="J144" s="39" t="n"/>
    </row>
    <row r="145">
      <c r="A145" s="38" t="n"/>
      <c r="B145" s="39" t="n"/>
      <c r="C145" s="15">
        <f>IF($A145="","",CHOOSE($B145,"JAN","FEV","MAR","ABR","MAI","JUN","JUL","AGO","SET","OUT","NOV","DEZ"))</f>
        <v/>
      </c>
      <c r="D145" s="40">
        <f>IF($A145="","",IFERROR(IF(INDEX('Lançamento'!$B$6:$M$35,MATCH($A145,'Lançamento'!$A$6:$A$35,0),$B145)="","",INDEX('Lançamento'!$B$6:$M$35,MATCH($A145,'Lançamento'!$A$6:$A$35,0),$B145)),""))</f>
        <v/>
      </c>
      <c r="E145" s="12" t="n"/>
      <c r="F145" s="15">
        <f>IF($A145="","",IF(OR($D145="",$E145=""),"Digitar valor do print",IF(ABS($D145-$E145)&lt;=0.001,"✔ Confere","⚠ Divergente")))</f>
        <v/>
      </c>
      <c r="G145" s="39" t="n"/>
      <c r="H145" s="39" t="n"/>
      <c r="I145" s="41" t="n"/>
      <c r="J145" s="39" t="n"/>
    </row>
    <row r="146">
      <c r="A146" s="38" t="n"/>
      <c r="B146" s="39" t="n"/>
      <c r="C146" s="15">
        <f>IF($A146="","",CHOOSE($B146,"JAN","FEV","MAR","ABR","MAI","JUN","JUL","AGO","SET","OUT","NOV","DEZ"))</f>
        <v/>
      </c>
      <c r="D146" s="40">
        <f>IF($A146="","",IFERROR(IF(INDEX('Lançamento'!$B$6:$M$35,MATCH($A146,'Lançamento'!$A$6:$A$35,0),$B146)="","",INDEX('Lançamento'!$B$6:$M$35,MATCH($A146,'Lançamento'!$A$6:$A$35,0),$B146)),""))</f>
        <v/>
      </c>
      <c r="E146" s="12" t="n"/>
      <c r="F146" s="15">
        <f>IF($A146="","",IF(OR($D146="",$E146=""),"Digitar valor do print",IF(ABS($D146-$E146)&lt;=0.001,"✔ Confere","⚠ Divergente")))</f>
        <v/>
      </c>
      <c r="G146" s="39" t="n"/>
      <c r="H146" s="39" t="n"/>
      <c r="I146" s="41" t="n"/>
      <c r="J146" s="39" t="n"/>
    </row>
    <row r="147">
      <c r="A147" s="38" t="n"/>
      <c r="B147" s="39" t="n"/>
      <c r="C147" s="15">
        <f>IF($A147="","",CHOOSE($B147,"JAN","FEV","MAR","ABR","MAI","JUN","JUL","AGO","SET","OUT","NOV","DEZ"))</f>
        <v/>
      </c>
      <c r="D147" s="40">
        <f>IF($A147="","",IFERROR(IF(INDEX('Lançamento'!$B$6:$M$35,MATCH($A147,'Lançamento'!$A$6:$A$35,0),$B147)="","",INDEX('Lançamento'!$B$6:$M$35,MATCH($A147,'Lançamento'!$A$6:$A$35,0),$B147)),""))</f>
        <v/>
      </c>
      <c r="E147" s="12" t="n"/>
      <c r="F147" s="15">
        <f>IF($A147="","",IF(OR($D147="",$E147=""),"Digitar valor do print",IF(ABS($D147-$E147)&lt;=0.001,"✔ Confere","⚠ Divergente")))</f>
        <v/>
      </c>
      <c r="G147" s="39" t="n"/>
      <c r="H147" s="39" t="n"/>
      <c r="I147" s="41" t="n"/>
      <c r="J147" s="39" t="n"/>
    </row>
    <row r="148">
      <c r="A148" s="38" t="n"/>
      <c r="B148" s="39" t="n"/>
      <c r="C148" s="15">
        <f>IF($A148="","",CHOOSE($B148,"JAN","FEV","MAR","ABR","MAI","JUN","JUL","AGO","SET","OUT","NOV","DEZ"))</f>
        <v/>
      </c>
      <c r="D148" s="40">
        <f>IF($A148="","",IFERROR(IF(INDEX('Lançamento'!$B$6:$M$35,MATCH($A148,'Lançamento'!$A$6:$A$35,0),$B148)="","",INDEX('Lançamento'!$B$6:$M$35,MATCH($A148,'Lançamento'!$A$6:$A$35,0),$B148)),""))</f>
        <v/>
      </c>
      <c r="E148" s="12" t="n"/>
      <c r="F148" s="15">
        <f>IF($A148="","",IF(OR($D148="",$E148=""),"Digitar valor do print",IF(ABS($D148-$E148)&lt;=0.001,"✔ Confere","⚠ Divergente")))</f>
        <v/>
      </c>
      <c r="G148" s="39" t="n"/>
      <c r="H148" s="39" t="n"/>
      <c r="I148" s="41" t="n"/>
      <c r="J148" s="39" t="n"/>
    </row>
    <row r="149">
      <c r="A149" s="38" t="n"/>
      <c r="B149" s="39" t="n"/>
      <c r="C149" s="15">
        <f>IF($A149="","",CHOOSE($B149,"JAN","FEV","MAR","ABR","MAI","JUN","JUL","AGO","SET","OUT","NOV","DEZ"))</f>
        <v/>
      </c>
      <c r="D149" s="40">
        <f>IF($A149="","",IFERROR(IF(INDEX('Lançamento'!$B$6:$M$35,MATCH($A149,'Lançamento'!$A$6:$A$35,0),$B149)="","",INDEX('Lançamento'!$B$6:$M$35,MATCH($A149,'Lançamento'!$A$6:$A$35,0),$B149)),""))</f>
        <v/>
      </c>
      <c r="E149" s="12" t="n"/>
      <c r="F149" s="15">
        <f>IF($A149="","",IF(OR($D149="",$E149=""),"Digitar valor do print",IF(ABS($D149-$E149)&lt;=0.001,"✔ Confere","⚠ Divergente")))</f>
        <v/>
      </c>
      <c r="G149" s="39" t="n"/>
      <c r="H149" s="39" t="n"/>
      <c r="I149" s="41" t="n"/>
      <c r="J149" s="39" t="n"/>
    </row>
    <row r="150">
      <c r="A150" s="38" t="n"/>
      <c r="B150" s="39" t="n"/>
      <c r="C150" s="15">
        <f>IF($A150="","",CHOOSE($B150,"JAN","FEV","MAR","ABR","MAI","JUN","JUL","AGO","SET","OUT","NOV","DEZ"))</f>
        <v/>
      </c>
      <c r="D150" s="40">
        <f>IF($A150="","",IFERROR(IF(INDEX('Lançamento'!$B$6:$M$35,MATCH($A150,'Lançamento'!$A$6:$A$35,0),$B150)="","",INDEX('Lançamento'!$B$6:$M$35,MATCH($A150,'Lançamento'!$A$6:$A$35,0),$B150)),""))</f>
        <v/>
      </c>
      <c r="E150" s="12" t="n"/>
      <c r="F150" s="15">
        <f>IF($A150="","",IF(OR($D150="",$E150=""),"Digitar valor do print",IF(ABS($D150-$E150)&lt;=0.001,"✔ Confere","⚠ Divergente")))</f>
        <v/>
      </c>
      <c r="G150" s="39" t="n"/>
      <c r="H150" s="39" t="n"/>
      <c r="I150" s="41" t="n"/>
      <c r="J150" s="39" t="n"/>
    </row>
    <row r="151">
      <c r="A151" s="38" t="n"/>
      <c r="B151" s="39" t="n"/>
      <c r="C151" s="15">
        <f>IF($A151="","",CHOOSE($B151,"JAN","FEV","MAR","ABR","MAI","JUN","JUL","AGO","SET","OUT","NOV","DEZ"))</f>
        <v/>
      </c>
      <c r="D151" s="40">
        <f>IF($A151="","",IFERROR(IF(INDEX('Lançamento'!$B$6:$M$35,MATCH($A151,'Lançamento'!$A$6:$A$35,0),$B151)="","",INDEX('Lançamento'!$B$6:$M$35,MATCH($A151,'Lançamento'!$A$6:$A$35,0),$B151)),""))</f>
        <v/>
      </c>
      <c r="E151" s="12" t="n"/>
      <c r="F151" s="15">
        <f>IF($A151="","",IF(OR($D151="",$E151=""),"Digitar valor do print",IF(ABS($D151-$E151)&lt;=0.001,"✔ Confere","⚠ Divergente")))</f>
        <v/>
      </c>
      <c r="G151" s="39" t="n"/>
      <c r="H151" s="39" t="n"/>
      <c r="I151" s="41" t="n"/>
      <c r="J151" s="39" t="n"/>
    </row>
    <row r="152">
      <c r="A152" s="38" t="n"/>
      <c r="B152" s="39" t="n"/>
      <c r="C152" s="15">
        <f>IF($A152="","",CHOOSE($B152,"JAN","FEV","MAR","ABR","MAI","JUN","JUL","AGO","SET","OUT","NOV","DEZ"))</f>
        <v/>
      </c>
      <c r="D152" s="40">
        <f>IF($A152="","",IFERROR(IF(INDEX('Lançamento'!$B$6:$M$35,MATCH($A152,'Lançamento'!$A$6:$A$35,0),$B152)="","",INDEX('Lançamento'!$B$6:$M$35,MATCH($A152,'Lançamento'!$A$6:$A$35,0),$B152)),""))</f>
        <v/>
      </c>
      <c r="E152" s="12" t="n"/>
      <c r="F152" s="15">
        <f>IF($A152="","",IF(OR($D152="",$E152=""),"Digitar valor do print",IF(ABS($D152-$E152)&lt;=0.001,"✔ Confere","⚠ Divergente")))</f>
        <v/>
      </c>
      <c r="G152" s="39" t="n"/>
      <c r="H152" s="39" t="n"/>
      <c r="I152" s="41" t="n"/>
      <c r="J152" s="39" t="n"/>
    </row>
    <row r="153">
      <c r="A153" s="38" t="n"/>
      <c r="B153" s="39" t="n"/>
      <c r="C153" s="15">
        <f>IF($A153="","",CHOOSE($B153,"JAN","FEV","MAR","ABR","MAI","JUN","JUL","AGO","SET","OUT","NOV","DEZ"))</f>
        <v/>
      </c>
      <c r="D153" s="40">
        <f>IF($A153="","",IFERROR(IF(INDEX('Lançamento'!$B$6:$M$35,MATCH($A153,'Lançamento'!$A$6:$A$35,0),$B153)="","",INDEX('Lançamento'!$B$6:$M$35,MATCH($A153,'Lançamento'!$A$6:$A$35,0),$B153)),""))</f>
        <v/>
      </c>
      <c r="E153" s="12" t="n"/>
      <c r="F153" s="15">
        <f>IF($A153="","",IF(OR($D153="",$E153=""),"Digitar valor do print",IF(ABS($D153-$E153)&lt;=0.001,"✔ Confere","⚠ Divergente")))</f>
        <v/>
      </c>
      <c r="G153" s="39" t="n"/>
      <c r="H153" s="39" t="n"/>
      <c r="I153" s="41" t="n"/>
      <c r="J153" s="39" t="n"/>
    </row>
    <row r="154">
      <c r="A154" s="38" t="n"/>
      <c r="B154" s="39" t="n"/>
      <c r="C154" s="15">
        <f>IF($A154="","",CHOOSE($B154,"JAN","FEV","MAR","ABR","MAI","JUN","JUL","AGO","SET","OUT","NOV","DEZ"))</f>
        <v/>
      </c>
      <c r="D154" s="40">
        <f>IF($A154="","",IFERROR(IF(INDEX('Lançamento'!$B$6:$M$35,MATCH($A154,'Lançamento'!$A$6:$A$35,0),$B154)="","",INDEX('Lançamento'!$B$6:$M$35,MATCH($A154,'Lançamento'!$A$6:$A$35,0),$B154)),""))</f>
        <v/>
      </c>
      <c r="E154" s="12" t="n"/>
      <c r="F154" s="15">
        <f>IF($A154="","",IF(OR($D154="",$E154=""),"Digitar valor do print",IF(ABS($D154-$E154)&lt;=0.001,"✔ Confere","⚠ Divergente")))</f>
        <v/>
      </c>
      <c r="G154" s="39" t="n"/>
      <c r="H154" s="39" t="n"/>
      <c r="I154" s="41" t="n"/>
      <c r="J154" s="39" t="n"/>
    </row>
    <row r="155">
      <c r="A155" s="38" t="n"/>
      <c r="B155" s="39" t="n"/>
      <c r="C155" s="15">
        <f>IF($A155="","",CHOOSE($B155,"JAN","FEV","MAR","ABR","MAI","JUN","JUL","AGO","SET","OUT","NOV","DEZ"))</f>
        <v/>
      </c>
      <c r="D155" s="40">
        <f>IF($A155="","",IFERROR(IF(INDEX('Lançamento'!$B$6:$M$35,MATCH($A155,'Lançamento'!$A$6:$A$35,0),$B155)="","",INDEX('Lançamento'!$B$6:$M$35,MATCH($A155,'Lançamento'!$A$6:$A$35,0),$B155)),""))</f>
        <v/>
      </c>
      <c r="E155" s="12" t="n"/>
      <c r="F155" s="15">
        <f>IF($A155="","",IF(OR($D155="",$E155=""),"Digitar valor do print",IF(ABS($D155-$E155)&lt;=0.001,"✔ Confere","⚠ Divergente")))</f>
        <v/>
      </c>
      <c r="G155" s="39" t="n"/>
      <c r="H155" s="39" t="n"/>
      <c r="I155" s="41" t="n"/>
      <c r="J155" s="39" t="n"/>
    </row>
    <row r="156">
      <c r="A156" s="38" t="n"/>
      <c r="B156" s="39" t="n"/>
      <c r="C156" s="15">
        <f>IF($A156="","",CHOOSE($B156,"JAN","FEV","MAR","ABR","MAI","JUN","JUL","AGO","SET","OUT","NOV","DEZ"))</f>
        <v/>
      </c>
      <c r="D156" s="40">
        <f>IF($A156="","",IFERROR(IF(INDEX('Lançamento'!$B$6:$M$35,MATCH($A156,'Lançamento'!$A$6:$A$35,0),$B156)="","",INDEX('Lançamento'!$B$6:$M$35,MATCH($A156,'Lançamento'!$A$6:$A$35,0),$B156)),""))</f>
        <v/>
      </c>
      <c r="E156" s="12" t="n"/>
      <c r="F156" s="15">
        <f>IF($A156="","",IF(OR($D156="",$E156=""),"Digitar valor do print",IF(ABS($D156-$E156)&lt;=0.001,"✔ Confere","⚠ Divergente")))</f>
        <v/>
      </c>
      <c r="G156" s="39" t="n"/>
      <c r="H156" s="39" t="n"/>
      <c r="I156" s="41" t="n"/>
      <c r="J156" s="39" t="n"/>
    </row>
    <row r="157">
      <c r="A157" s="38" t="n"/>
      <c r="B157" s="39" t="n"/>
      <c r="C157" s="15">
        <f>IF($A157="","",CHOOSE($B157,"JAN","FEV","MAR","ABR","MAI","JUN","JUL","AGO","SET","OUT","NOV","DEZ"))</f>
        <v/>
      </c>
      <c r="D157" s="40">
        <f>IF($A157="","",IFERROR(IF(INDEX('Lançamento'!$B$6:$M$35,MATCH($A157,'Lançamento'!$A$6:$A$35,0),$B157)="","",INDEX('Lançamento'!$B$6:$M$35,MATCH($A157,'Lançamento'!$A$6:$A$35,0),$B157)),""))</f>
        <v/>
      </c>
      <c r="E157" s="12" t="n"/>
      <c r="F157" s="15">
        <f>IF($A157="","",IF(OR($D157="",$E157=""),"Digitar valor do print",IF(ABS($D157-$E157)&lt;=0.001,"✔ Confere","⚠ Divergente")))</f>
        <v/>
      </c>
      <c r="G157" s="39" t="n"/>
      <c r="H157" s="39" t="n"/>
      <c r="I157" s="41" t="n"/>
      <c r="J157" s="39" t="n"/>
    </row>
    <row r="158">
      <c r="A158" s="38" t="n"/>
      <c r="B158" s="39" t="n"/>
      <c r="C158" s="15">
        <f>IF($A158="","",CHOOSE($B158,"JAN","FEV","MAR","ABR","MAI","JUN","JUL","AGO","SET","OUT","NOV","DEZ"))</f>
        <v/>
      </c>
      <c r="D158" s="40">
        <f>IF($A158="","",IFERROR(IF(INDEX('Lançamento'!$B$6:$M$35,MATCH($A158,'Lançamento'!$A$6:$A$35,0),$B158)="","",INDEX('Lançamento'!$B$6:$M$35,MATCH($A158,'Lançamento'!$A$6:$A$35,0),$B158)),""))</f>
        <v/>
      </c>
      <c r="E158" s="12" t="n"/>
      <c r="F158" s="15">
        <f>IF($A158="","",IF(OR($D158="",$E158=""),"Digitar valor do print",IF(ABS($D158-$E158)&lt;=0.001,"✔ Confere","⚠ Divergente")))</f>
        <v/>
      </c>
      <c r="G158" s="39" t="n"/>
      <c r="H158" s="39" t="n"/>
      <c r="I158" s="41" t="n"/>
      <c r="J158" s="39" t="n"/>
    </row>
    <row r="159">
      <c r="A159" s="38" t="n"/>
      <c r="B159" s="39" t="n"/>
      <c r="C159" s="15">
        <f>IF($A159="","",CHOOSE($B159,"JAN","FEV","MAR","ABR","MAI","JUN","JUL","AGO","SET","OUT","NOV","DEZ"))</f>
        <v/>
      </c>
      <c r="D159" s="40">
        <f>IF($A159="","",IFERROR(IF(INDEX('Lançamento'!$B$6:$M$35,MATCH($A159,'Lançamento'!$A$6:$A$35,0),$B159)="","",INDEX('Lançamento'!$B$6:$M$35,MATCH($A159,'Lançamento'!$A$6:$A$35,0),$B159)),""))</f>
        <v/>
      </c>
      <c r="E159" s="12" t="n"/>
      <c r="F159" s="15">
        <f>IF($A159="","",IF(OR($D159="",$E159=""),"Digitar valor do print",IF(ABS($D159-$E159)&lt;=0.001,"✔ Confere","⚠ Divergente")))</f>
        <v/>
      </c>
      <c r="G159" s="39" t="n"/>
      <c r="H159" s="39" t="n"/>
      <c r="I159" s="41" t="n"/>
      <c r="J159" s="39" t="n"/>
    </row>
    <row r="160">
      <c r="A160" s="38" t="n"/>
      <c r="B160" s="39" t="n"/>
      <c r="C160" s="15">
        <f>IF($A160="","",CHOOSE($B160,"JAN","FEV","MAR","ABR","MAI","JUN","JUL","AGO","SET","OUT","NOV","DEZ"))</f>
        <v/>
      </c>
      <c r="D160" s="40">
        <f>IF($A160="","",IFERROR(IF(INDEX('Lançamento'!$B$6:$M$35,MATCH($A160,'Lançamento'!$A$6:$A$35,0),$B160)="","",INDEX('Lançamento'!$B$6:$M$35,MATCH($A160,'Lançamento'!$A$6:$A$35,0),$B160)),""))</f>
        <v/>
      </c>
      <c r="E160" s="12" t="n"/>
      <c r="F160" s="15">
        <f>IF($A160="","",IF(OR($D160="",$E160=""),"Digitar valor do print",IF(ABS($D160-$E160)&lt;=0.001,"✔ Confere","⚠ Divergente")))</f>
        <v/>
      </c>
      <c r="G160" s="39" t="n"/>
      <c r="H160" s="39" t="n"/>
      <c r="I160" s="41" t="n"/>
      <c r="J160" s="39" t="n"/>
    </row>
    <row r="161">
      <c r="A161" s="38" t="n"/>
      <c r="B161" s="39" t="n"/>
      <c r="C161" s="15">
        <f>IF($A161="","",CHOOSE($B161,"JAN","FEV","MAR","ABR","MAI","JUN","JUL","AGO","SET","OUT","NOV","DEZ"))</f>
        <v/>
      </c>
      <c r="D161" s="40">
        <f>IF($A161="","",IFERROR(IF(INDEX('Lançamento'!$B$6:$M$35,MATCH($A161,'Lançamento'!$A$6:$A$35,0),$B161)="","",INDEX('Lançamento'!$B$6:$M$35,MATCH($A161,'Lançamento'!$A$6:$A$35,0),$B161)),""))</f>
        <v/>
      </c>
      <c r="E161" s="12" t="n"/>
      <c r="F161" s="15">
        <f>IF($A161="","",IF(OR($D161="",$E161=""),"Digitar valor do print",IF(ABS($D161-$E161)&lt;=0.001,"✔ Confere","⚠ Divergente")))</f>
        <v/>
      </c>
      <c r="G161" s="39" t="n"/>
      <c r="H161" s="39" t="n"/>
      <c r="I161" s="41" t="n"/>
      <c r="J161" s="39" t="n"/>
    </row>
    <row r="162">
      <c r="A162" s="38" t="n"/>
      <c r="B162" s="39" t="n"/>
      <c r="C162" s="15">
        <f>IF($A162="","",CHOOSE($B162,"JAN","FEV","MAR","ABR","MAI","JUN","JUL","AGO","SET","OUT","NOV","DEZ"))</f>
        <v/>
      </c>
      <c r="D162" s="40">
        <f>IF($A162="","",IFERROR(IF(INDEX('Lançamento'!$B$6:$M$35,MATCH($A162,'Lançamento'!$A$6:$A$35,0),$B162)="","",INDEX('Lançamento'!$B$6:$M$35,MATCH($A162,'Lançamento'!$A$6:$A$35,0),$B162)),""))</f>
        <v/>
      </c>
      <c r="E162" s="12" t="n"/>
      <c r="F162" s="15">
        <f>IF($A162="","",IF(OR($D162="",$E162=""),"Digitar valor do print",IF(ABS($D162-$E162)&lt;=0.001,"✔ Confere","⚠ Divergente")))</f>
        <v/>
      </c>
      <c r="G162" s="39" t="n"/>
      <c r="H162" s="39" t="n"/>
      <c r="I162" s="41" t="n"/>
      <c r="J162" s="39" t="n"/>
    </row>
    <row r="163">
      <c r="A163" s="38" t="n"/>
      <c r="B163" s="39" t="n"/>
      <c r="C163" s="15">
        <f>IF($A163="","",CHOOSE($B163,"JAN","FEV","MAR","ABR","MAI","JUN","JUL","AGO","SET","OUT","NOV","DEZ"))</f>
        <v/>
      </c>
      <c r="D163" s="40">
        <f>IF($A163="","",IFERROR(IF(INDEX('Lançamento'!$B$6:$M$35,MATCH($A163,'Lançamento'!$A$6:$A$35,0),$B163)="","",INDEX('Lançamento'!$B$6:$M$35,MATCH($A163,'Lançamento'!$A$6:$A$35,0),$B163)),""))</f>
        <v/>
      </c>
      <c r="E163" s="12" t="n"/>
      <c r="F163" s="15">
        <f>IF($A163="","",IF(OR($D163="",$E163=""),"Digitar valor do print",IF(ABS($D163-$E163)&lt;=0.001,"✔ Confere","⚠ Divergente")))</f>
        <v/>
      </c>
      <c r="G163" s="39" t="n"/>
      <c r="H163" s="39" t="n"/>
      <c r="I163" s="41" t="n"/>
      <c r="J163" s="39" t="n"/>
    </row>
    <row r="164">
      <c r="A164" s="38" t="n"/>
      <c r="B164" s="39" t="n"/>
      <c r="C164" s="15">
        <f>IF($A164="","",CHOOSE($B164,"JAN","FEV","MAR","ABR","MAI","JUN","JUL","AGO","SET","OUT","NOV","DEZ"))</f>
        <v/>
      </c>
      <c r="D164" s="40">
        <f>IF($A164="","",IFERROR(IF(INDEX('Lançamento'!$B$6:$M$35,MATCH($A164,'Lançamento'!$A$6:$A$35,0),$B164)="","",INDEX('Lançamento'!$B$6:$M$35,MATCH($A164,'Lançamento'!$A$6:$A$35,0),$B164)),""))</f>
        <v/>
      </c>
      <c r="E164" s="12" t="n"/>
      <c r="F164" s="15">
        <f>IF($A164="","",IF(OR($D164="",$E164=""),"Digitar valor do print",IF(ABS($D164-$E164)&lt;=0.001,"✔ Confere","⚠ Divergente")))</f>
        <v/>
      </c>
      <c r="G164" s="39" t="n"/>
      <c r="H164" s="39" t="n"/>
      <c r="I164" s="41" t="n"/>
      <c r="J164" s="39" t="n"/>
    </row>
    <row r="165">
      <c r="A165" s="38" t="n"/>
      <c r="B165" s="39" t="n"/>
      <c r="C165" s="15">
        <f>IF($A165="","",CHOOSE($B165,"JAN","FEV","MAR","ABR","MAI","JUN","JUL","AGO","SET","OUT","NOV","DEZ"))</f>
        <v/>
      </c>
      <c r="D165" s="40">
        <f>IF($A165="","",IFERROR(IF(INDEX('Lançamento'!$B$6:$M$35,MATCH($A165,'Lançamento'!$A$6:$A$35,0),$B165)="","",INDEX('Lançamento'!$B$6:$M$35,MATCH($A165,'Lançamento'!$A$6:$A$35,0),$B165)),""))</f>
        <v/>
      </c>
      <c r="E165" s="12" t="n"/>
      <c r="F165" s="15">
        <f>IF($A165="","",IF(OR($D165="",$E165=""),"Digitar valor do print",IF(ABS($D165-$E165)&lt;=0.001,"✔ Confere","⚠ Divergente")))</f>
        <v/>
      </c>
      <c r="G165" s="39" t="n"/>
      <c r="H165" s="39" t="n"/>
      <c r="I165" s="41" t="n"/>
      <c r="J165" s="39" t="n"/>
    </row>
    <row r="166">
      <c r="A166" s="38" t="n"/>
      <c r="B166" s="39" t="n"/>
      <c r="C166" s="15">
        <f>IF($A166="","",CHOOSE($B166,"JAN","FEV","MAR","ABR","MAI","JUN","JUL","AGO","SET","OUT","NOV","DEZ"))</f>
        <v/>
      </c>
      <c r="D166" s="40">
        <f>IF($A166="","",IFERROR(IF(INDEX('Lançamento'!$B$6:$M$35,MATCH($A166,'Lançamento'!$A$6:$A$35,0),$B166)="","",INDEX('Lançamento'!$B$6:$M$35,MATCH($A166,'Lançamento'!$A$6:$A$35,0),$B166)),""))</f>
        <v/>
      </c>
      <c r="E166" s="12" t="n"/>
      <c r="F166" s="15">
        <f>IF($A166="","",IF(OR($D166="",$E166=""),"Digitar valor do print",IF(ABS($D166-$E166)&lt;=0.001,"✔ Confere","⚠ Divergente")))</f>
        <v/>
      </c>
      <c r="G166" s="39" t="n"/>
      <c r="H166" s="39" t="n"/>
      <c r="I166" s="41" t="n"/>
      <c r="J166" s="39" t="n"/>
    </row>
    <row r="167">
      <c r="A167" s="38" t="n"/>
      <c r="B167" s="39" t="n"/>
      <c r="C167" s="15">
        <f>IF($A167="","",CHOOSE($B167,"JAN","FEV","MAR","ABR","MAI","JUN","JUL","AGO","SET","OUT","NOV","DEZ"))</f>
        <v/>
      </c>
      <c r="D167" s="40">
        <f>IF($A167="","",IFERROR(IF(INDEX('Lançamento'!$B$6:$M$35,MATCH($A167,'Lançamento'!$A$6:$A$35,0),$B167)="","",INDEX('Lançamento'!$B$6:$M$35,MATCH($A167,'Lançamento'!$A$6:$A$35,0),$B167)),""))</f>
        <v/>
      </c>
      <c r="E167" s="12" t="n"/>
      <c r="F167" s="15">
        <f>IF($A167="","",IF(OR($D167="",$E167=""),"Digitar valor do print",IF(ABS($D167-$E167)&lt;=0.001,"✔ Confere","⚠ Divergente")))</f>
        <v/>
      </c>
      <c r="G167" s="39" t="n"/>
      <c r="H167" s="39" t="n"/>
      <c r="I167" s="41" t="n"/>
      <c r="J167" s="39" t="n"/>
    </row>
    <row r="168">
      <c r="A168" s="38" t="n"/>
      <c r="B168" s="39" t="n"/>
      <c r="C168" s="15">
        <f>IF($A168="","",CHOOSE($B168,"JAN","FEV","MAR","ABR","MAI","JUN","JUL","AGO","SET","OUT","NOV","DEZ"))</f>
        <v/>
      </c>
      <c r="D168" s="40">
        <f>IF($A168="","",IFERROR(IF(INDEX('Lançamento'!$B$6:$M$35,MATCH($A168,'Lançamento'!$A$6:$A$35,0),$B168)="","",INDEX('Lançamento'!$B$6:$M$35,MATCH($A168,'Lançamento'!$A$6:$A$35,0),$B168)),""))</f>
        <v/>
      </c>
      <c r="E168" s="12" t="n"/>
      <c r="F168" s="15">
        <f>IF($A168="","",IF(OR($D168="",$E168=""),"Digitar valor do print",IF(ABS($D168-$E168)&lt;=0.001,"✔ Confere","⚠ Divergente")))</f>
        <v/>
      </c>
      <c r="G168" s="39" t="n"/>
      <c r="H168" s="39" t="n"/>
      <c r="I168" s="41" t="n"/>
      <c r="J168" s="39" t="n"/>
    </row>
    <row r="169">
      <c r="A169" s="38" t="n"/>
      <c r="B169" s="39" t="n"/>
      <c r="C169" s="15">
        <f>IF($A169="","",CHOOSE($B169,"JAN","FEV","MAR","ABR","MAI","JUN","JUL","AGO","SET","OUT","NOV","DEZ"))</f>
        <v/>
      </c>
      <c r="D169" s="40">
        <f>IF($A169="","",IFERROR(IF(INDEX('Lançamento'!$B$6:$M$35,MATCH($A169,'Lançamento'!$A$6:$A$35,0),$B169)="","",INDEX('Lançamento'!$B$6:$M$35,MATCH($A169,'Lançamento'!$A$6:$A$35,0),$B169)),""))</f>
        <v/>
      </c>
      <c r="E169" s="12" t="n"/>
      <c r="F169" s="15">
        <f>IF($A169="","",IF(OR($D169="",$E169=""),"Digitar valor do print",IF(ABS($D169-$E169)&lt;=0.001,"✔ Confere","⚠ Divergente")))</f>
        <v/>
      </c>
      <c r="G169" s="39" t="n"/>
      <c r="H169" s="39" t="n"/>
      <c r="I169" s="41" t="n"/>
      <c r="J169" s="39" t="n"/>
    </row>
    <row r="170">
      <c r="A170" s="38" t="n"/>
      <c r="B170" s="39" t="n"/>
      <c r="C170" s="15">
        <f>IF($A170="","",CHOOSE($B170,"JAN","FEV","MAR","ABR","MAI","JUN","JUL","AGO","SET","OUT","NOV","DEZ"))</f>
        <v/>
      </c>
      <c r="D170" s="40">
        <f>IF($A170="","",IFERROR(IF(INDEX('Lançamento'!$B$6:$M$35,MATCH($A170,'Lançamento'!$A$6:$A$35,0),$B170)="","",INDEX('Lançamento'!$B$6:$M$35,MATCH($A170,'Lançamento'!$A$6:$A$35,0),$B170)),""))</f>
        <v/>
      </c>
      <c r="E170" s="12" t="n"/>
      <c r="F170" s="15">
        <f>IF($A170="","",IF(OR($D170="",$E170=""),"Digitar valor do print",IF(ABS($D170-$E170)&lt;=0.001,"✔ Confere","⚠ Divergente")))</f>
        <v/>
      </c>
      <c r="G170" s="39" t="n"/>
      <c r="H170" s="39" t="n"/>
      <c r="I170" s="41" t="n"/>
      <c r="J170" s="39" t="n"/>
    </row>
    <row r="171">
      <c r="A171" s="38" t="n"/>
      <c r="B171" s="39" t="n"/>
      <c r="C171" s="15">
        <f>IF($A171="","",CHOOSE($B171,"JAN","FEV","MAR","ABR","MAI","JUN","JUL","AGO","SET","OUT","NOV","DEZ"))</f>
        <v/>
      </c>
      <c r="D171" s="40">
        <f>IF($A171="","",IFERROR(IF(INDEX('Lançamento'!$B$6:$M$35,MATCH($A171,'Lançamento'!$A$6:$A$35,0),$B171)="","",INDEX('Lançamento'!$B$6:$M$35,MATCH($A171,'Lançamento'!$A$6:$A$35,0),$B171)),""))</f>
        <v/>
      </c>
      <c r="E171" s="12" t="n"/>
      <c r="F171" s="15">
        <f>IF($A171="","",IF(OR($D171="",$E171=""),"Digitar valor do print",IF(ABS($D171-$E171)&lt;=0.001,"✔ Confere","⚠ Divergente")))</f>
        <v/>
      </c>
      <c r="G171" s="39" t="n"/>
      <c r="H171" s="39" t="n"/>
      <c r="I171" s="41" t="n"/>
      <c r="J171" s="39" t="n"/>
    </row>
    <row r="172">
      <c r="A172" s="38" t="n"/>
      <c r="B172" s="39" t="n"/>
      <c r="C172" s="15">
        <f>IF($A172="","",CHOOSE($B172,"JAN","FEV","MAR","ABR","MAI","JUN","JUL","AGO","SET","OUT","NOV","DEZ"))</f>
        <v/>
      </c>
      <c r="D172" s="40">
        <f>IF($A172="","",IFERROR(IF(INDEX('Lançamento'!$B$6:$M$35,MATCH($A172,'Lançamento'!$A$6:$A$35,0),$B172)="","",INDEX('Lançamento'!$B$6:$M$35,MATCH($A172,'Lançamento'!$A$6:$A$35,0),$B172)),""))</f>
        <v/>
      </c>
      <c r="E172" s="12" t="n"/>
      <c r="F172" s="15">
        <f>IF($A172="","",IF(OR($D172="",$E172=""),"Digitar valor do print",IF(ABS($D172-$E172)&lt;=0.001,"✔ Confere","⚠ Divergente")))</f>
        <v/>
      </c>
      <c r="G172" s="39" t="n"/>
      <c r="H172" s="39" t="n"/>
      <c r="I172" s="41" t="n"/>
      <c r="J172" s="39" t="n"/>
    </row>
    <row r="173">
      <c r="A173" s="38" t="n"/>
      <c r="B173" s="39" t="n"/>
      <c r="C173" s="15">
        <f>IF($A173="","",CHOOSE($B173,"JAN","FEV","MAR","ABR","MAI","JUN","JUL","AGO","SET","OUT","NOV","DEZ"))</f>
        <v/>
      </c>
      <c r="D173" s="40">
        <f>IF($A173="","",IFERROR(IF(INDEX('Lançamento'!$B$6:$M$35,MATCH($A173,'Lançamento'!$A$6:$A$35,0),$B173)="","",INDEX('Lançamento'!$B$6:$M$35,MATCH($A173,'Lançamento'!$A$6:$A$35,0),$B173)),""))</f>
        <v/>
      </c>
      <c r="E173" s="12" t="n"/>
      <c r="F173" s="15">
        <f>IF($A173="","",IF(OR($D173="",$E173=""),"Digitar valor do print",IF(ABS($D173-$E173)&lt;=0.001,"✔ Confere","⚠ Divergente")))</f>
        <v/>
      </c>
      <c r="G173" s="39" t="n"/>
      <c r="H173" s="39" t="n"/>
      <c r="I173" s="41" t="n"/>
      <c r="J173" s="39" t="n"/>
    </row>
    <row r="174">
      <c r="A174" s="38" t="n"/>
      <c r="B174" s="39" t="n"/>
      <c r="C174" s="15">
        <f>IF($A174="","",CHOOSE($B174,"JAN","FEV","MAR","ABR","MAI","JUN","JUL","AGO","SET","OUT","NOV","DEZ"))</f>
        <v/>
      </c>
      <c r="D174" s="40">
        <f>IF($A174="","",IFERROR(IF(INDEX('Lançamento'!$B$6:$M$35,MATCH($A174,'Lançamento'!$A$6:$A$35,0),$B174)="","",INDEX('Lançamento'!$B$6:$M$35,MATCH($A174,'Lançamento'!$A$6:$A$35,0),$B174)),""))</f>
        <v/>
      </c>
      <c r="E174" s="12" t="n"/>
      <c r="F174" s="15">
        <f>IF($A174="","",IF(OR($D174="",$E174=""),"Digitar valor do print",IF(ABS($D174-$E174)&lt;=0.001,"✔ Confere","⚠ Divergente")))</f>
        <v/>
      </c>
      <c r="G174" s="39" t="n"/>
      <c r="H174" s="39" t="n"/>
      <c r="I174" s="41" t="n"/>
      <c r="J174" s="39" t="n"/>
    </row>
    <row r="175">
      <c r="A175" s="38" t="n"/>
      <c r="B175" s="39" t="n"/>
      <c r="C175" s="15">
        <f>IF($A175="","",CHOOSE($B175,"JAN","FEV","MAR","ABR","MAI","JUN","JUL","AGO","SET","OUT","NOV","DEZ"))</f>
        <v/>
      </c>
      <c r="D175" s="40">
        <f>IF($A175="","",IFERROR(IF(INDEX('Lançamento'!$B$6:$M$35,MATCH($A175,'Lançamento'!$A$6:$A$35,0),$B175)="","",INDEX('Lançamento'!$B$6:$M$35,MATCH($A175,'Lançamento'!$A$6:$A$35,0),$B175)),""))</f>
        <v/>
      </c>
      <c r="E175" s="12" t="n"/>
      <c r="F175" s="15">
        <f>IF($A175="","",IF(OR($D175="",$E175=""),"Digitar valor do print",IF(ABS($D175-$E175)&lt;=0.001,"✔ Confere","⚠ Divergente")))</f>
        <v/>
      </c>
      <c r="G175" s="39" t="n"/>
      <c r="H175" s="39" t="n"/>
      <c r="I175" s="41" t="n"/>
      <c r="J175" s="39" t="n"/>
    </row>
    <row r="176">
      <c r="A176" s="38" t="n"/>
      <c r="B176" s="39" t="n"/>
      <c r="C176" s="15">
        <f>IF($A176="","",CHOOSE($B176,"JAN","FEV","MAR","ABR","MAI","JUN","JUL","AGO","SET","OUT","NOV","DEZ"))</f>
        <v/>
      </c>
      <c r="D176" s="40">
        <f>IF($A176="","",IFERROR(IF(INDEX('Lançamento'!$B$6:$M$35,MATCH($A176,'Lançamento'!$A$6:$A$35,0),$B176)="","",INDEX('Lançamento'!$B$6:$M$35,MATCH($A176,'Lançamento'!$A$6:$A$35,0),$B176)),""))</f>
        <v/>
      </c>
      <c r="E176" s="12" t="n"/>
      <c r="F176" s="15">
        <f>IF($A176="","",IF(OR($D176="",$E176=""),"Digitar valor do print",IF(ABS($D176-$E176)&lt;=0.001,"✔ Confere","⚠ Divergente")))</f>
        <v/>
      </c>
      <c r="G176" s="39" t="n"/>
      <c r="H176" s="39" t="n"/>
      <c r="I176" s="41" t="n"/>
      <c r="J176" s="39" t="n"/>
    </row>
    <row r="177">
      <c r="A177" s="38" t="n"/>
      <c r="B177" s="39" t="n"/>
      <c r="C177" s="15">
        <f>IF($A177="","",CHOOSE($B177,"JAN","FEV","MAR","ABR","MAI","JUN","JUL","AGO","SET","OUT","NOV","DEZ"))</f>
        <v/>
      </c>
      <c r="D177" s="40">
        <f>IF($A177="","",IFERROR(IF(INDEX('Lançamento'!$B$6:$M$35,MATCH($A177,'Lançamento'!$A$6:$A$35,0),$B177)="","",INDEX('Lançamento'!$B$6:$M$35,MATCH($A177,'Lançamento'!$A$6:$A$35,0),$B177)),""))</f>
        <v/>
      </c>
      <c r="E177" s="12" t="n"/>
      <c r="F177" s="15">
        <f>IF($A177="","",IF(OR($D177="",$E177=""),"Digitar valor do print",IF(ABS($D177-$E177)&lt;=0.001,"✔ Confere","⚠ Divergente")))</f>
        <v/>
      </c>
      <c r="G177" s="39" t="n"/>
      <c r="H177" s="39" t="n"/>
      <c r="I177" s="41" t="n"/>
      <c r="J177" s="39" t="n"/>
    </row>
    <row r="178">
      <c r="A178" s="38" t="n"/>
      <c r="B178" s="39" t="n"/>
      <c r="C178" s="15">
        <f>IF($A178="","",CHOOSE($B178,"JAN","FEV","MAR","ABR","MAI","JUN","JUL","AGO","SET","OUT","NOV","DEZ"))</f>
        <v/>
      </c>
      <c r="D178" s="40">
        <f>IF($A178="","",IFERROR(IF(INDEX('Lançamento'!$B$6:$M$35,MATCH($A178,'Lançamento'!$A$6:$A$35,0),$B178)="","",INDEX('Lançamento'!$B$6:$M$35,MATCH($A178,'Lançamento'!$A$6:$A$35,0),$B178)),""))</f>
        <v/>
      </c>
      <c r="E178" s="12" t="n"/>
      <c r="F178" s="15">
        <f>IF($A178="","",IF(OR($D178="",$E178=""),"Digitar valor do print",IF(ABS($D178-$E178)&lt;=0.001,"✔ Confere","⚠ Divergente")))</f>
        <v/>
      </c>
      <c r="G178" s="39" t="n"/>
      <c r="H178" s="39" t="n"/>
      <c r="I178" s="41" t="n"/>
      <c r="J178" s="39" t="n"/>
    </row>
    <row r="179">
      <c r="A179" s="38" t="n"/>
      <c r="B179" s="39" t="n"/>
      <c r="C179" s="15">
        <f>IF($A179="","",CHOOSE($B179,"JAN","FEV","MAR","ABR","MAI","JUN","JUL","AGO","SET","OUT","NOV","DEZ"))</f>
        <v/>
      </c>
      <c r="D179" s="40">
        <f>IF($A179="","",IFERROR(IF(INDEX('Lançamento'!$B$6:$M$35,MATCH($A179,'Lançamento'!$A$6:$A$35,0),$B179)="","",INDEX('Lançamento'!$B$6:$M$35,MATCH($A179,'Lançamento'!$A$6:$A$35,0),$B179)),""))</f>
        <v/>
      </c>
      <c r="E179" s="12" t="n"/>
      <c r="F179" s="15">
        <f>IF($A179="","",IF(OR($D179="",$E179=""),"Digitar valor do print",IF(ABS($D179-$E179)&lt;=0.001,"✔ Confere","⚠ Divergente")))</f>
        <v/>
      </c>
      <c r="G179" s="39" t="n"/>
      <c r="H179" s="39" t="n"/>
      <c r="I179" s="41" t="n"/>
      <c r="J179" s="39" t="n"/>
    </row>
    <row r="180">
      <c r="A180" s="38" t="n"/>
      <c r="B180" s="39" t="n"/>
      <c r="C180" s="15">
        <f>IF($A180="","",CHOOSE($B180,"JAN","FEV","MAR","ABR","MAI","JUN","JUL","AGO","SET","OUT","NOV","DEZ"))</f>
        <v/>
      </c>
      <c r="D180" s="40">
        <f>IF($A180="","",IFERROR(IF(INDEX('Lançamento'!$B$6:$M$35,MATCH($A180,'Lançamento'!$A$6:$A$35,0),$B180)="","",INDEX('Lançamento'!$B$6:$M$35,MATCH($A180,'Lançamento'!$A$6:$A$35,0),$B180)),""))</f>
        <v/>
      </c>
      <c r="E180" s="12" t="n"/>
      <c r="F180" s="15">
        <f>IF($A180="","",IF(OR($D180="",$E180=""),"Digitar valor do print",IF(ABS($D180-$E180)&lt;=0.001,"✔ Confere","⚠ Divergente")))</f>
        <v/>
      </c>
      <c r="G180" s="39" t="n"/>
      <c r="H180" s="39" t="n"/>
      <c r="I180" s="41" t="n"/>
      <c r="J180" s="39" t="n"/>
    </row>
    <row r="181">
      <c r="A181" s="38" t="n"/>
      <c r="B181" s="39" t="n"/>
      <c r="C181" s="15">
        <f>IF($A181="","",CHOOSE($B181,"JAN","FEV","MAR","ABR","MAI","JUN","JUL","AGO","SET","OUT","NOV","DEZ"))</f>
        <v/>
      </c>
      <c r="D181" s="40">
        <f>IF($A181="","",IFERROR(IF(INDEX('Lançamento'!$B$6:$M$35,MATCH($A181,'Lançamento'!$A$6:$A$35,0),$B181)="","",INDEX('Lançamento'!$B$6:$M$35,MATCH($A181,'Lançamento'!$A$6:$A$35,0),$B181)),""))</f>
        <v/>
      </c>
      <c r="E181" s="12" t="n"/>
      <c r="F181" s="15">
        <f>IF($A181="","",IF(OR($D181="",$E181=""),"Digitar valor do print",IF(ABS($D181-$E181)&lt;=0.001,"✔ Confere","⚠ Divergente")))</f>
        <v/>
      </c>
      <c r="G181" s="39" t="n"/>
      <c r="H181" s="39" t="n"/>
      <c r="I181" s="41" t="n"/>
      <c r="J181" s="39" t="n"/>
    </row>
    <row r="182">
      <c r="A182" s="38" t="n"/>
      <c r="B182" s="39" t="n"/>
      <c r="C182" s="15">
        <f>IF($A182="","",CHOOSE($B182,"JAN","FEV","MAR","ABR","MAI","JUN","JUL","AGO","SET","OUT","NOV","DEZ"))</f>
        <v/>
      </c>
      <c r="D182" s="40">
        <f>IF($A182="","",IFERROR(IF(INDEX('Lançamento'!$B$6:$M$35,MATCH($A182,'Lançamento'!$A$6:$A$35,0),$B182)="","",INDEX('Lançamento'!$B$6:$M$35,MATCH($A182,'Lançamento'!$A$6:$A$35,0),$B182)),""))</f>
        <v/>
      </c>
      <c r="E182" s="12" t="n"/>
      <c r="F182" s="15">
        <f>IF($A182="","",IF(OR($D182="",$E182=""),"Digitar valor do print",IF(ABS($D182-$E182)&lt;=0.001,"✔ Confere","⚠ Divergente")))</f>
        <v/>
      </c>
      <c r="G182" s="39" t="n"/>
      <c r="H182" s="39" t="n"/>
      <c r="I182" s="41" t="n"/>
      <c r="J182" s="39" t="n"/>
    </row>
    <row r="183">
      <c r="A183" s="38" t="n"/>
      <c r="B183" s="39" t="n"/>
      <c r="C183" s="15">
        <f>IF($A183="","",CHOOSE($B183,"JAN","FEV","MAR","ABR","MAI","JUN","JUL","AGO","SET","OUT","NOV","DEZ"))</f>
        <v/>
      </c>
      <c r="D183" s="40">
        <f>IF($A183="","",IFERROR(IF(INDEX('Lançamento'!$B$6:$M$35,MATCH($A183,'Lançamento'!$A$6:$A$35,0),$B183)="","",INDEX('Lançamento'!$B$6:$M$35,MATCH($A183,'Lançamento'!$A$6:$A$35,0),$B183)),""))</f>
        <v/>
      </c>
      <c r="E183" s="12" t="n"/>
      <c r="F183" s="15">
        <f>IF($A183="","",IF(OR($D183="",$E183=""),"Digitar valor do print",IF(ABS($D183-$E183)&lt;=0.001,"✔ Confere","⚠ Divergente")))</f>
        <v/>
      </c>
      <c r="G183" s="39" t="n"/>
      <c r="H183" s="39" t="n"/>
      <c r="I183" s="41" t="n"/>
      <c r="J183" s="39" t="n"/>
    </row>
    <row r="184">
      <c r="A184" s="38" t="n"/>
      <c r="B184" s="39" t="n"/>
      <c r="C184" s="15">
        <f>IF($A184="","",CHOOSE($B184,"JAN","FEV","MAR","ABR","MAI","JUN","JUL","AGO","SET","OUT","NOV","DEZ"))</f>
        <v/>
      </c>
      <c r="D184" s="40">
        <f>IF($A184="","",IFERROR(IF(INDEX('Lançamento'!$B$6:$M$35,MATCH($A184,'Lançamento'!$A$6:$A$35,0),$B184)="","",INDEX('Lançamento'!$B$6:$M$35,MATCH($A184,'Lançamento'!$A$6:$A$35,0),$B184)),""))</f>
        <v/>
      </c>
      <c r="E184" s="12" t="n"/>
      <c r="F184" s="15">
        <f>IF($A184="","",IF(OR($D184="",$E184=""),"Digitar valor do print",IF(ABS($D184-$E184)&lt;=0.001,"✔ Confere","⚠ Divergente")))</f>
        <v/>
      </c>
      <c r="G184" s="39" t="n"/>
      <c r="H184" s="39" t="n"/>
      <c r="I184" s="41" t="n"/>
      <c r="J184" s="39" t="n"/>
    </row>
    <row r="185">
      <c r="A185" s="38" t="n"/>
      <c r="B185" s="39" t="n"/>
      <c r="C185" s="15">
        <f>IF($A185="","",CHOOSE($B185,"JAN","FEV","MAR","ABR","MAI","JUN","JUL","AGO","SET","OUT","NOV","DEZ"))</f>
        <v/>
      </c>
      <c r="D185" s="40">
        <f>IF($A185="","",IFERROR(IF(INDEX('Lançamento'!$B$6:$M$35,MATCH($A185,'Lançamento'!$A$6:$A$35,0),$B185)="","",INDEX('Lançamento'!$B$6:$M$35,MATCH($A185,'Lançamento'!$A$6:$A$35,0),$B185)),""))</f>
        <v/>
      </c>
      <c r="E185" s="12" t="n"/>
      <c r="F185" s="15">
        <f>IF($A185="","",IF(OR($D185="",$E185=""),"Digitar valor do print",IF(ABS($D185-$E185)&lt;=0.001,"✔ Confere","⚠ Divergente")))</f>
        <v/>
      </c>
      <c r="G185" s="39" t="n"/>
      <c r="H185" s="39" t="n"/>
      <c r="I185" s="41" t="n"/>
      <c r="J185" s="39" t="n"/>
    </row>
    <row r="186">
      <c r="A186" s="38" t="n"/>
      <c r="B186" s="39" t="n"/>
      <c r="C186" s="15">
        <f>IF($A186="","",CHOOSE($B186,"JAN","FEV","MAR","ABR","MAI","JUN","JUL","AGO","SET","OUT","NOV","DEZ"))</f>
        <v/>
      </c>
      <c r="D186" s="40">
        <f>IF($A186="","",IFERROR(IF(INDEX('Lançamento'!$B$6:$M$35,MATCH($A186,'Lançamento'!$A$6:$A$35,0),$B186)="","",INDEX('Lançamento'!$B$6:$M$35,MATCH($A186,'Lançamento'!$A$6:$A$35,0),$B186)),""))</f>
        <v/>
      </c>
      <c r="E186" s="12" t="n"/>
      <c r="F186" s="15">
        <f>IF($A186="","",IF(OR($D186="",$E186=""),"Digitar valor do print",IF(ABS($D186-$E186)&lt;=0.001,"✔ Confere","⚠ Divergente")))</f>
        <v/>
      </c>
      <c r="G186" s="39" t="n"/>
      <c r="H186" s="39" t="n"/>
      <c r="I186" s="41" t="n"/>
      <c r="J186" s="39" t="n"/>
    </row>
    <row r="187">
      <c r="A187" s="38" t="n"/>
      <c r="B187" s="39" t="n"/>
      <c r="C187" s="15">
        <f>IF($A187="","",CHOOSE($B187,"JAN","FEV","MAR","ABR","MAI","JUN","JUL","AGO","SET","OUT","NOV","DEZ"))</f>
        <v/>
      </c>
      <c r="D187" s="40">
        <f>IF($A187="","",IFERROR(IF(INDEX('Lançamento'!$B$6:$M$35,MATCH($A187,'Lançamento'!$A$6:$A$35,0),$B187)="","",INDEX('Lançamento'!$B$6:$M$35,MATCH($A187,'Lançamento'!$A$6:$A$35,0),$B187)),""))</f>
        <v/>
      </c>
      <c r="E187" s="12" t="n"/>
      <c r="F187" s="15">
        <f>IF($A187="","",IF(OR($D187="",$E187=""),"Digitar valor do print",IF(ABS($D187-$E187)&lt;=0.001,"✔ Confere","⚠ Divergente")))</f>
        <v/>
      </c>
      <c r="G187" s="39" t="n"/>
      <c r="H187" s="39" t="n"/>
      <c r="I187" s="41" t="n"/>
      <c r="J187" s="39" t="n"/>
    </row>
    <row r="188">
      <c r="A188" s="38" t="n"/>
      <c r="B188" s="39" t="n"/>
      <c r="C188" s="15">
        <f>IF($A188="","",CHOOSE($B188,"JAN","FEV","MAR","ABR","MAI","JUN","JUL","AGO","SET","OUT","NOV","DEZ"))</f>
        <v/>
      </c>
      <c r="D188" s="40">
        <f>IF($A188="","",IFERROR(IF(INDEX('Lançamento'!$B$6:$M$35,MATCH($A188,'Lançamento'!$A$6:$A$35,0),$B188)="","",INDEX('Lançamento'!$B$6:$M$35,MATCH($A188,'Lançamento'!$A$6:$A$35,0),$B188)),""))</f>
        <v/>
      </c>
      <c r="E188" s="12" t="n"/>
      <c r="F188" s="15">
        <f>IF($A188="","",IF(OR($D188="",$E188=""),"Digitar valor do print",IF(ABS($D188-$E188)&lt;=0.001,"✔ Confere","⚠ Divergente")))</f>
        <v/>
      </c>
      <c r="G188" s="39" t="n"/>
      <c r="H188" s="39" t="n"/>
      <c r="I188" s="41" t="n"/>
      <c r="J188" s="39" t="n"/>
    </row>
    <row r="189">
      <c r="A189" s="38" t="n"/>
      <c r="B189" s="39" t="n"/>
      <c r="C189" s="15">
        <f>IF($A189="","",CHOOSE($B189,"JAN","FEV","MAR","ABR","MAI","JUN","JUL","AGO","SET","OUT","NOV","DEZ"))</f>
        <v/>
      </c>
      <c r="D189" s="40">
        <f>IF($A189="","",IFERROR(IF(INDEX('Lançamento'!$B$6:$M$35,MATCH($A189,'Lançamento'!$A$6:$A$35,0),$B189)="","",INDEX('Lançamento'!$B$6:$M$35,MATCH($A189,'Lançamento'!$A$6:$A$35,0),$B189)),""))</f>
        <v/>
      </c>
      <c r="E189" s="12" t="n"/>
      <c r="F189" s="15">
        <f>IF($A189="","",IF(OR($D189="",$E189=""),"Digitar valor do print",IF(ABS($D189-$E189)&lt;=0.001,"✔ Confere","⚠ Divergente")))</f>
        <v/>
      </c>
      <c r="G189" s="39" t="n"/>
      <c r="H189" s="39" t="n"/>
      <c r="I189" s="41" t="n"/>
      <c r="J189" s="39" t="n"/>
    </row>
    <row r="190">
      <c r="A190" s="38" t="n"/>
      <c r="B190" s="39" t="n"/>
      <c r="C190" s="15">
        <f>IF($A190="","",CHOOSE($B190,"JAN","FEV","MAR","ABR","MAI","JUN","JUL","AGO","SET","OUT","NOV","DEZ"))</f>
        <v/>
      </c>
      <c r="D190" s="40">
        <f>IF($A190="","",IFERROR(IF(INDEX('Lançamento'!$B$6:$M$35,MATCH($A190,'Lançamento'!$A$6:$A$35,0),$B190)="","",INDEX('Lançamento'!$B$6:$M$35,MATCH($A190,'Lançamento'!$A$6:$A$35,0),$B190)),""))</f>
        <v/>
      </c>
      <c r="E190" s="12" t="n"/>
      <c r="F190" s="15">
        <f>IF($A190="","",IF(OR($D190="",$E190=""),"Digitar valor do print",IF(ABS($D190-$E190)&lt;=0.001,"✔ Confere","⚠ Divergente")))</f>
        <v/>
      </c>
      <c r="G190" s="39" t="n"/>
      <c r="H190" s="39" t="n"/>
      <c r="I190" s="41" t="n"/>
      <c r="J190" s="39" t="n"/>
    </row>
    <row r="191">
      <c r="A191" s="38" t="n"/>
      <c r="B191" s="39" t="n"/>
      <c r="C191" s="15">
        <f>IF($A191="","",CHOOSE($B191,"JAN","FEV","MAR","ABR","MAI","JUN","JUL","AGO","SET","OUT","NOV","DEZ"))</f>
        <v/>
      </c>
      <c r="D191" s="40">
        <f>IF($A191="","",IFERROR(IF(INDEX('Lançamento'!$B$6:$M$35,MATCH($A191,'Lançamento'!$A$6:$A$35,0),$B191)="","",INDEX('Lançamento'!$B$6:$M$35,MATCH($A191,'Lançamento'!$A$6:$A$35,0),$B191)),""))</f>
        <v/>
      </c>
      <c r="E191" s="12" t="n"/>
      <c r="F191" s="15">
        <f>IF($A191="","",IF(OR($D191="",$E191=""),"Digitar valor do print",IF(ABS($D191-$E191)&lt;=0.001,"✔ Confere","⚠ Divergente")))</f>
        <v/>
      </c>
      <c r="G191" s="39" t="n"/>
      <c r="H191" s="39" t="n"/>
      <c r="I191" s="41" t="n"/>
      <c r="J191" s="39" t="n"/>
    </row>
    <row r="192">
      <c r="A192" s="38" t="n"/>
      <c r="B192" s="39" t="n"/>
      <c r="C192" s="15">
        <f>IF($A192="","",CHOOSE($B192,"JAN","FEV","MAR","ABR","MAI","JUN","JUL","AGO","SET","OUT","NOV","DEZ"))</f>
        <v/>
      </c>
      <c r="D192" s="40">
        <f>IF($A192="","",IFERROR(IF(INDEX('Lançamento'!$B$6:$M$35,MATCH($A192,'Lançamento'!$A$6:$A$35,0),$B192)="","",INDEX('Lançamento'!$B$6:$M$35,MATCH($A192,'Lançamento'!$A$6:$A$35,0),$B192)),""))</f>
        <v/>
      </c>
      <c r="E192" s="12" t="n"/>
      <c r="F192" s="15">
        <f>IF($A192="","",IF(OR($D192="",$E192=""),"Digitar valor do print",IF(ABS($D192-$E192)&lt;=0.001,"✔ Confere","⚠ Divergente")))</f>
        <v/>
      </c>
      <c r="G192" s="39" t="n"/>
      <c r="H192" s="39" t="n"/>
      <c r="I192" s="41" t="n"/>
      <c r="J192" s="39" t="n"/>
    </row>
    <row r="193">
      <c r="A193" s="38" t="n"/>
      <c r="B193" s="39" t="n"/>
      <c r="C193" s="15">
        <f>IF($A193="","",CHOOSE($B193,"JAN","FEV","MAR","ABR","MAI","JUN","JUL","AGO","SET","OUT","NOV","DEZ"))</f>
        <v/>
      </c>
      <c r="D193" s="40">
        <f>IF($A193="","",IFERROR(IF(INDEX('Lançamento'!$B$6:$M$35,MATCH($A193,'Lançamento'!$A$6:$A$35,0),$B193)="","",INDEX('Lançamento'!$B$6:$M$35,MATCH($A193,'Lançamento'!$A$6:$A$35,0),$B193)),""))</f>
        <v/>
      </c>
      <c r="E193" s="12" t="n"/>
      <c r="F193" s="15">
        <f>IF($A193="","",IF(OR($D193="",$E193=""),"Digitar valor do print",IF(ABS($D193-$E193)&lt;=0.001,"✔ Confere","⚠ Divergente")))</f>
        <v/>
      </c>
      <c r="G193" s="39" t="n"/>
      <c r="H193" s="39" t="n"/>
      <c r="I193" s="41" t="n"/>
      <c r="J193" s="39" t="n"/>
    </row>
    <row r="194">
      <c r="A194" s="38" t="n"/>
      <c r="B194" s="39" t="n"/>
      <c r="C194" s="15">
        <f>IF($A194="","",CHOOSE($B194,"JAN","FEV","MAR","ABR","MAI","JUN","JUL","AGO","SET","OUT","NOV","DEZ"))</f>
        <v/>
      </c>
      <c r="D194" s="40">
        <f>IF($A194="","",IFERROR(IF(INDEX('Lançamento'!$B$6:$M$35,MATCH($A194,'Lançamento'!$A$6:$A$35,0),$B194)="","",INDEX('Lançamento'!$B$6:$M$35,MATCH($A194,'Lançamento'!$A$6:$A$35,0),$B194)),""))</f>
        <v/>
      </c>
      <c r="E194" s="12" t="n"/>
      <c r="F194" s="15">
        <f>IF($A194="","",IF(OR($D194="",$E194=""),"Digitar valor do print",IF(ABS($D194-$E194)&lt;=0.001,"✔ Confere","⚠ Divergente")))</f>
        <v/>
      </c>
      <c r="G194" s="39" t="n"/>
      <c r="H194" s="39" t="n"/>
      <c r="I194" s="41" t="n"/>
      <c r="J194" s="39" t="n"/>
    </row>
    <row r="195">
      <c r="A195" s="38" t="n"/>
      <c r="B195" s="39" t="n"/>
      <c r="C195" s="15">
        <f>IF($A195="","",CHOOSE($B195,"JAN","FEV","MAR","ABR","MAI","JUN","JUL","AGO","SET","OUT","NOV","DEZ"))</f>
        <v/>
      </c>
      <c r="D195" s="40">
        <f>IF($A195="","",IFERROR(IF(INDEX('Lançamento'!$B$6:$M$35,MATCH($A195,'Lançamento'!$A$6:$A$35,0),$B195)="","",INDEX('Lançamento'!$B$6:$M$35,MATCH($A195,'Lançamento'!$A$6:$A$35,0),$B195)),""))</f>
        <v/>
      </c>
      <c r="E195" s="12" t="n"/>
      <c r="F195" s="15">
        <f>IF($A195="","",IF(OR($D195="",$E195=""),"Digitar valor do print",IF(ABS($D195-$E195)&lt;=0.001,"✔ Confere","⚠ Divergente")))</f>
        <v/>
      </c>
      <c r="G195" s="39" t="n"/>
      <c r="H195" s="39" t="n"/>
      <c r="I195" s="41" t="n"/>
      <c r="J195" s="39" t="n"/>
    </row>
    <row r="196">
      <c r="A196" s="38" t="n"/>
      <c r="B196" s="39" t="n"/>
      <c r="C196" s="15">
        <f>IF($A196="","",CHOOSE($B196,"JAN","FEV","MAR","ABR","MAI","JUN","JUL","AGO","SET","OUT","NOV","DEZ"))</f>
        <v/>
      </c>
      <c r="D196" s="40">
        <f>IF($A196="","",IFERROR(IF(INDEX('Lançamento'!$B$6:$M$35,MATCH($A196,'Lançamento'!$A$6:$A$35,0),$B196)="","",INDEX('Lançamento'!$B$6:$M$35,MATCH($A196,'Lançamento'!$A$6:$A$35,0),$B196)),""))</f>
        <v/>
      </c>
      <c r="E196" s="12" t="n"/>
      <c r="F196" s="15">
        <f>IF($A196="","",IF(OR($D196="",$E196=""),"Digitar valor do print",IF(ABS($D196-$E196)&lt;=0.001,"✔ Confere","⚠ Divergente")))</f>
        <v/>
      </c>
      <c r="G196" s="39" t="n"/>
      <c r="H196" s="39" t="n"/>
      <c r="I196" s="41" t="n"/>
      <c r="J196" s="39" t="n"/>
    </row>
    <row r="197">
      <c r="A197" s="38" t="n"/>
      <c r="B197" s="39" t="n"/>
      <c r="C197" s="15">
        <f>IF($A197="","",CHOOSE($B197,"JAN","FEV","MAR","ABR","MAI","JUN","JUL","AGO","SET","OUT","NOV","DEZ"))</f>
        <v/>
      </c>
      <c r="D197" s="40">
        <f>IF($A197="","",IFERROR(IF(INDEX('Lançamento'!$B$6:$M$35,MATCH($A197,'Lançamento'!$A$6:$A$35,0),$B197)="","",INDEX('Lançamento'!$B$6:$M$35,MATCH($A197,'Lançamento'!$A$6:$A$35,0),$B197)),""))</f>
        <v/>
      </c>
      <c r="E197" s="12" t="n"/>
      <c r="F197" s="15">
        <f>IF($A197="","",IF(OR($D197="",$E197=""),"Digitar valor do print",IF(ABS($D197-$E197)&lt;=0.001,"✔ Confere","⚠ Divergente")))</f>
        <v/>
      </c>
      <c r="G197" s="39" t="n"/>
      <c r="H197" s="39" t="n"/>
      <c r="I197" s="41" t="n"/>
      <c r="J197" s="39" t="n"/>
    </row>
    <row r="198">
      <c r="A198" s="38" t="n"/>
      <c r="B198" s="39" t="n"/>
      <c r="C198" s="15">
        <f>IF($A198="","",CHOOSE($B198,"JAN","FEV","MAR","ABR","MAI","JUN","JUL","AGO","SET","OUT","NOV","DEZ"))</f>
        <v/>
      </c>
      <c r="D198" s="40">
        <f>IF($A198="","",IFERROR(IF(INDEX('Lançamento'!$B$6:$M$35,MATCH($A198,'Lançamento'!$A$6:$A$35,0),$B198)="","",INDEX('Lançamento'!$B$6:$M$35,MATCH($A198,'Lançamento'!$A$6:$A$35,0),$B198)),""))</f>
        <v/>
      </c>
      <c r="E198" s="12" t="n"/>
      <c r="F198" s="15">
        <f>IF($A198="","",IF(OR($D198="",$E198=""),"Digitar valor do print",IF(ABS($D198-$E198)&lt;=0.001,"✔ Confere","⚠ Divergente")))</f>
        <v/>
      </c>
      <c r="G198" s="39" t="n"/>
      <c r="H198" s="39" t="n"/>
      <c r="I198" s="41" t="n"/>
      <c r="J198" s="39" t="n"/>
    </row>
    <row r="199">
      <c r="A199" s="38" t="n"/>
      <c r="B199" s="39" t="n"/>
      <c r="C199" s="15">
        <f>IF($A199="","",CHOOSE($B199,"JAN","FEV","MAR","ABR","MAI","JUN","JUL","AGO","SET","OUT","NOV","DEZ"))</f>
        <v/>
      </c>
      <c r="D199" s="40">
        <f>IF($A199="","",IFERROR(IF(INDEX('Lançamento'!$B$6:$M$35,MATCH($A199,'Lançamento'!$A$6:$A$35,0),$B199)="","",INDEX('Lançamento'!$B$6:$M$35,MATCH($A199,'Lançamento'!$A$6:$A$35,0),$B199)),""))</f>
        <v/>
      </c>
      <c r="E199" s="12" t="n"/>
      <c r="F199" s="15">
        <f>IF($A199="","",IF(OR($D199="",$E199=""),"Digitar valor do print",IF(ABS($D199-$E199)&lt;=0.001,"✔ Confere","⚠ Divergente")))</f>
        <v/>
      </c>
      <c r="G199" s="39" t="n"/>
      <c r="H199" s="39" t="n"/>
      <c r="I199" s="41" t="n"/>
      <c r="J199" s="39" t="n"/>
    </row>
    <row r="200">
      <c r="A200" s="38" t="n"/>
      <c r="B200" s="39" t="n"/>
      <c r="C200" s="15">
        <f>IF($A200="","",CHOOSE($B200,"JAN","FEV","MAR","ABR","MAI","JUN","JUL","AGO","SET","OUT","NOV","DEZ"))</f>
        <v/>
      </c>
      <c r="D200" s="40">
        <f>IF($A200="","",IFERROR(IF(INDEX('Lançamento'!$B$6:$M$35,MATCH($A200,'Lançamento'!$A$6:$A$35,0),$B200)="","",INDEX('Lançamento'!$B$6:$M$35,MATCH($A200,'Lançamento'!$A$6:$A$35,0),$B200)),""))</f>
        <v/>
      </c>
      <c r="E200" s="12" t="n"/>
      <c r="F200" s="15">
        <f>IF($A200="","",IF(OR($D200="",$E200=""),"Digitar valor do print",IF(ABS($D200-$E200)&lt;=0.001,"✔ Confere","⚠ Divergente")))</f>
        <v/>
      </c>
      <c r="G200" s="39" t="n"/>
      <c r="H200" s="39" t="n"/>
      <c r="I200" s="41" t="n"/>
      <c r="J200" s="39" t="n"/>
    </row>
    <row r="201">
      <c r="A201" s="38" t="n"/>
      <c r="B201" s="39" t="n"/>
      <c r="C201" s="15">
        <f>IF($A201="","",CHOOSE($B201,"JAN","FEV","MAR","ABR","MAI","JUN","JUL","AGO","SET","OUT","NOV","DEZ"))</f>
        <v/>
      </c>
      <c r="D201" s="40">
        <f>IF($A201="","",IFERROR(IF(INDEX('Lançamento'!$B$6:$M$35,MATCH($A201,'Lançamento'!$A$6:$A$35,0),$B201)="","",INDEX('Lançamento'!$B$6:$M$35,MATCH($A201,'Lançamento'!$A$6:$A$35,0),$B201)),""))</f>
        <v/>
      </c>
      <c r="E201" s="12" t="n"/>
      <c r="F201" s="15">
        <f>IF($A201="","",IF(OR($D201="",$E201=""),"Digitar valor do print",IF(ABS($D201-$E201)&lt;=0.001,"✔ Confere","⚠ Divergente")))</f>
        <v/>
      </c>
      <c r="G201" s="39" t="n"/>
      <c r="H201" s="39" t="n"/>
      <c r="I201" s="41" t="n"/>
      <c r="J201" s="39" t="n"/>
    </row>
    <row r="202">
      <c r="A202" s="38" t="n"/>
      <c r="B202" s="39" t="n"/>
      <c r="C202" s="15">
        <f>IF($A202="","",CHOOSE($B202,"JAN","FEV","MAR","ABR","MAI","JUN","JUL","AGO","SET","OUT","NOV","DEZ"))</f>
        <v/>
      </c>
      <c r="D202" s="40">
        <f>IF($A202="","",IFERROR(IF(INDEX('Lançamento'!$B$6:$M$35,MATCH($A202,'Lançamento'!$A$6:$A$35,0),$B202)="","",INDEX('Lançamento'!$B$6:$M$35,MATCH($A202,'Lançamento'!$A$6:$A$35,0),$B202)),""))</f>
        <v/>
      </c>
      <c r="E202" s="12" t="n"/>
      <c r="F202" s="15">
        <f>IF($A202="","",IF(OR($D202="",$E202=""),"Digitar valor do print",IF(ABS($D202-$E202)&lt;=0.001,"✔ Confere","⚠ Divergente")))</f>
        <v/>
      </c>
      <c r="G202" s="39" t="n"/>
      <c r="H202" s="39" t="n"/>
      <c r="I202" s="41" t="n"/>
      <c r="J202" s="39" t="n"/>
    </row>
    <row r="203">
      <c r="A203" s="38" t="n"/>
      <c r="B203" s="39" t="n"/>
      <c r="C203" s="15">
        <f>IF($A203="","",CHOOSE($B203,"JAN","FEV","MAR","ABR","MAI","JUN","JUL","AGO","SET","OUT","NOV","DEZ"))</f>
        <v/>
      </c>
      <c r="D203" s="40">
        <f>IF($A203="","",IFERROR(IF(INDEX('Lançamento'!$B$6:$M$35,MATCH($A203,'Lançamento'!$A$6:$A$35,0),$B203)="","",INDEX('Lançamento'!$B$6:$M$35,MATCH($A203,'Lançamento'!$A$6:$A$35,0),$B203)),""))</f>
        <v/>
      </c>
      <c r="E203" s="12" t="n"/>
      <c r="F203" s="15">
        <f>IF($A203="","",IF(OR($D203="",$E203=""),"Digitar valor do print",IF(ABS($D203-$E203)&lt;=0.001,"✔ Confere","⚠ Divergente")))</f>
        <v/>
      </c>
      <c r="G203" s="39" t="n"/>
      <c r="H203" s="39" t="n"/>
      <c r="I203" s="41" t="n"/>
      <c r="J203" s="39" t="n"/>
    </row>
    <row r="204">
      <c r="A204" s="38" t="n"/>
      <c r="B204" s="39" t="n"/>
      <c r="C204" s="15">
        <f>IF($A204="","",CHOOSE($B204,"JAN","FEV","MAR","ABR","MAI","JUN","JUL","AGO","SET","OUT","NOV","DEZ"))</f>
        <v/>
      </c>
      <c r="D204" s="40">
        <f>IF($A204="","",IFERROR(IF(INDEX('Lançamento'!$B$6:$M$35,MATCH($A204,'Lançamento'!$A$6:$A$35,0),$B204)="","",INDEX('Lançamento'!$B$6:$M$35,MATCH($A204,'Lançamento'!$A$6:$A$35,0),$B204)),""))</f>
        <v/>
      </c>
      <c r="E204" s="12" t="n"/>
      <c r="F204" s="15">
        <f>IF($A204="","",IF(OR($D204="",$E204=""),"Digitar valor do print",IF(ABS($D204-$E204)&lt;=0.001,"✔ Confere","⚠ Divergente")))</f>
        <v/>
      </c>
      <c r="G204" s="39" t="n"/>
      <c r="H204" s="39" t="n"/>
      <c r="I204" s="41" t="n"/>
      <c r="J204" s="39" t="n"/>
    </row>
    <row r="205">
      <c r="A205" s="38" t="n"/>
      <c r="B205" s="39" t="n"/>
      <c r="C205" s="15">
        <f>IF($A205="","",CHOOSE($B205,"JAN","FEV","MAR","ABR","MAI","JUN","JUL","AGO","SET","OUT","NOV","DEZ"))</f>
        <v/>
      </c>
      <c r="D205" s="40">
        <f>IF($A205="","",IFERROR(IF(INDEX('Lançamento'!$B$6:$M$35,MATCH($A205,'Lançamento'!$A$6:$A$35,0),$B205)="","",INDEX('Lançamento'!$B$6:$M$35,MATCH($A205,'Lançamento'!$A$6:$A$35,0),$B205)),""))</f>
        <v/>
      </c>
      <c r="E205" s="12" t="n"/>
      <c r="F205" s="15">
        <f>IF($A205="","",IF(OR($D205="",$E205=""),"Digitar valor do print",IF(ABS($D205-$E205)&lt;=0.001,"✔ Confere","⚠ Divergente")))</f>
        <v/>
      </c>
      <c r="G205" s="39" t="n"/>
      <c r="H205" s="39" t="n"/>
      <c r="I205" s="41" t="n"/>
      <c r="J205" s="39" t="n"/>
    </row>
    <row r="206">
      <c r="A206" s="38" t="n"/>
      <c r="B206" s="39" t="n"/>
      <c r="C206" s="15">
        <f>IF($A206="","",CHOOSE($B206,"JAN","FEV","MAR","ABR","MAI","JUN","JUL","AGO","SET","OUT","NOV","DEZ"))</f>
        <v/>
      </c>
      <c r="D206" s="40">
        <f>IF($A206="","",IFERROR(IF(INDEX('Lançamento'!$B$6:$M$35,MATCH($A206,'Lançamento'!$A$6:$A$35,0),$B206)="","",INDEX('Lançamento'!$B$6:$M$35,MATCH($A206,'Lançamento'!$A$6:$A$35,0),$B206)),""))</f>
        <v/>
      </c>
      <c r="E206" s="12" t="n"/>
      <c r="F206" s="15">
        <f>IF($A206="","",IF(OR($D206="",$E206=""),"Digitar valor do print",IF(ABS($D206-$E206)&lt;=0.001,"✔ Confere","⚠ Divergente")))</f>
        <v/>
      </c>
      <c r="G206" s="39" t="n"/>
      <c r="H206" s="39" t="n"/>
      <c r="I206" s="41" t="n"/>
      <c r="J206" s="39" t="n"/>
    </row>
    <row r="207">
      <c r="A207" s="38" t="n"/>
      <c r="B207" s="39" t="n"/>
      <c r="C207" s="15">
        <f>IF($A207="","",CHOOSE($B207,"JAN","FEV","MAR","ABR","MAI","JUN","JUL","AGO","SET","OUT","NOV","DEZ"))</f>
        <v/>
      </c>
      <c r="D207" s="40">
        <f>IF($A207="","",IFERROR(IF(INDEX('Lançamento'!$B$6:$M$35,MATCH($A207,'Lançamento'!$A$6:$A$35,0),$B207)="","",INDEX('Lançamento'!$B$6:$M$35,MATCH($A207,'Lançamento'!$A$6:$A$35,0),$B207)),""))</f>
        <v/>
      </c>
      <c r="E207" s="12" t="n"/>
      <c r="F207" s="15">
        <f>IF($A207="","",IF(OR($D207="",$E207=""),"Digitar valor do print",IF(ABS($D207-$E207)&lt;=0.001,"✔ Confere","⚠ Divergente")))</f>
        <v/>
      </c>
      <c r="G207" s="39" t="n"/>
      <c r="H207" s="39" t="n"/>
      <c r="I207" s="41" t="n"/>
      <c r="J207" s="39" t="n"/>
    </row>
    <row r="208">
      <c r="A208" s="38" t="n"/>
      <c r="B208" s="39" t="n"/>
      <c r="C208" s="15">
        <f>IF($A208="","",CHOOSE($B208,"JAN","FEV","MAR","ABR","MAI","JUN","JUL","AGO","SET","OUT","NOV","DEZ"))</f>
        <v/>
      </c>
      <c r="D208" s="40">
        <f>IF($A208="","",IFERROR(IF(INDEX('Lançamento'!$B$6:$M$35,MATCH($A208,'Lançamento'!$A$6:$A$35,0),$B208)="","",INDEX('Lançamento'!$B$6:$M$35,MATCH($A208,'Lançamento'!$A$6:$A$35,0),$B208)),""))</f>
        <v/>
      </c>
      <c r="E208" s="12" t="n"/>
      <c r="F208" s="15">
        <f>IF($A208="","",IF(OR($D208="",$E208=""),"Digitar valor do print",IF(ABS($D208-$E208)&lt;=0.001,"✔ Confere","⚠ Divergente")))</f>
        <v/>
      </c>
      <c r="G208" s="39" t="n"/>
      <c r="H208" s="39" t="n"/>
      <c r="I208" s="41" t="n"/>
      <c r="J208" s="39" t="n"/>
    </row>
    <row r="209">
      <c r="A209" s="38" t="n"/>
      <c r="B209" s="39" t="n"/>
      <c r="C209" s="15">
        <f>IF($A209="","",CHOOSE($B209,"JAN","FEV","MAR","ABR","MAI","JUN","JUL","AGO","SET","OUT","NOV","DEZ"))</f>
        <v/>
      </c>
      <c r="D209" s="40">
        <f>IF($A209="","",IFERROR(IF(INDEX('Lançamento'!$B$6:$M$35,MATCH($A209,'Lançamento'!$A$6:$A$35,0),$B209)="","",INDEX('Lançamento'!$B$6:$M$35,MATCH($A209,'Lançamento'!$A$6:$A$35,0),$B209)),""))</f>
        <v/>
      </c>
      <c r="E209" s="12" t="n"/>
      <c r="F209" s="15">
        <f>IF($A209="","",IF(OR($D209="",$E209=""),"Digitar valor do print",IF(ABS($D209-$E209)&lt;=0.001,"✔ Confere","⚠ Divergente")))</f>
        <v/>
      </c>
      <c r="G209" s="39" t="n"/>
      <c r="H209" s="39" t="n"/>
      <c r="I209" s="41" t="n"/>
      <c r="J209" s="39" t="n"/>
    </row>
    <row r="210">
      <c r="A210" s="38" t="n"/>
      <c r="B210" s="39" t="n"/>
      <c r="C210" s="15">
        <f>IF($A210="","",CHOOSE($B210,"JAN","FEV","MAR","ABR","MAI","JUN","JUL","AGO","SET","OUT","NOV","DEZ"))</f>
        <v/>
      </c>
      <c r="D210" s="40">
        <f>IF($A210="","",IFERROR(IF(INDEX('Lançamento'!$B$6:$M$35,MATCH($A210,'Lançamento'!$A$6:$A$35,0),$B210)="","",INDEX('Lançamento'!$B$6:$M$35,MATCH($A210,'Lançamento'!$A$6:$A$35,0),$B210)),""))</f>
        <v/>
      </c>
      <c r="E210" s="12" t="n"/>
      <c r="F210" s="15">
        <f>IF($A210="","",IF(OR($D210="",$E210=""),"Digitar valor do print",IF(ABS($D210-$E210)&lt;=0.001,"✔ Confere","⚠ Divergente")))</f>
        <v/>
      </c>
      <c r="G210" s="39" t="n"/>
      <c r="H210" s="39" t="n"/>
      <c r="I210" s="41" t="n"/>
      <c r="J210" s="39" t="n"/>
    </row>
    <row r="211">
      <c r="A211" s="38" t="n"/>
      <c r="B211" s="39" t="n"/>
      <c r="C211" s="15">
        <f>IF($A211="","",CHOOSE($B211,"JAN","FEV","MAR","ABR","MAI","JUN","JUL","AGO","SET","OUT","NOV","DEZ"))</f>
        <v/>
      </c>
      <c r="D211" s="40">
        <f>IF($A211="","",IFERROR(IF(INDEX('Lançamento'!$B$6:$M$35,MATCH($A211,'Lançamento'!$A$6:$A$35,0),$B211)="","",INDEX('Lançamento'!$B$6:$M$35,MATCH($A211,'Lançamento'!$A$6:$A$35,0),$B211)),""))</f>
        <v/>
      </c>
      <c r="E211" s="12" t="n"/>
      <c r="F211" s="15">
        <f>IF($A211="","",IF(OR($D211="",$E211=""),"Digitar valor do print",IF(ABS($D211-$E211)&lt;=0.001,"✔ Confere","⚠ Divergente")))</f>
        <v/>
      </c>
      <c r="G211" s="39" t="n"/>
      <c r="H211" s="39" t="n"/>
      <c r="I211" s="41" t="n"/>
      <c r="J211" s="39" t="n"/>
    </row>
    <row r="212">
      <c r="A212" s="38" t="n"/>
      <c r="B212" s="39" t="n"/>
      <c r="C212" s="15">
        <f>IF($A212="","",CHOOSE($B212,"JAN","FEV","MAR","ABR","MAI","JUN","JUL","AGO","SET","OUT","NOV","DEZ"))</f>
        <v/>
      </c>
      <c r="D212" s="40">
        <f>IF($A212="","",IFERROR(IF(INDEX('Lançamento'!$B$6:$M$35,MATCH($A212,'Lançamento'!$A$6:$A$35,0),$B212)="","",INDEX('Lançamento'!$B$6:$M$35,MATCH($A212,'Lançamento'!$A$6:$A$35,0),$B212)),""))</f>
        <v/>
      </c>
      <c r="E212" s="12" t="n"/>
      <c r="F212" s="15">
        <f>IF($A212="","",IF(OR($D212="",$E212=""),"Digitar valor do print",IF(ABS($D212-$E212)&lt;=0.001,"✔ Confere","⚠ Divergente")))</f>
        <v/>
      </c>
      <c r="G212" s="39" t="n"/>
      <c r="H212" s="39" t="n"/>
      <c r="I212" s="41" t="n"/>
      <c r="J212" s="39" t="n"/>
    </row>
    <row r="213">
      <c r="A213" s="38" t="n"/>
      <c r="B213" s="39" t="n"/>
      <c r="C213" s="15">
        <f>IF($A213="","",CHOOSE($B213,"JAN","FEV","MAR","ABR","MAI","JUN","JUL","AGO","SET","OUT","NOV","DEZ"))</f>
        <v/>
      </c>
      <c r="D213" s="40">
        <f>IF($A213="","",IFERROR(IF(INDEX('Lançamento'!$B$6:$M$35,MATCH($A213,'Lançamento'!$A$6:$A$35,0),$B213)="","",INDEX('Lançamento'!$B$6:$M$35,MATCH($A213,'Lançamento'!$A$6:$A$35,0),$B213)),""))</f>
        <v/>
      </c>
      <c r="E213" s="12" t="n"/>
      <c r="F213" s="15">
        <f>IF($A213="","",IF(OR($D213="",$E213=""),"Digitar valor do print",IF(ABS($D213-$E213)&lt;=0.001,"✔ Confere","⚠ Divergente")))</f>
        <v/>
      </c>
      <c r="G213" s="39" t="n"/>
      <c r="H213" s="39" t="n"/>
      <c r="I213" s="41" t="n"/>
      <c r="J213" s="39" t="n"/>
    </row>
    <row r="214">
      <c r="A214" s="38" t="n"/>
      <c r="B214" s="39" t="n"/>
      <c r="C214" s="15">
        <f>IF($A214="","",CHOOSE($B214,"JAN","FEV","MAR","ABR","MAI","JUN","JUL","AGO","SET","OUT","NOV","DEZ"))</f>
        <v/>
      </c>
      <c r="D214" s="40">
        <f>IF($A214="","",IFERROR(IF(INDEX('Lançamento'!$B$6:$M$35,MATCH($A214,'Lançamento'!$A$6:$A$35,0),$B214)="","",INDEX('Lançamento'!$B$6:$M$35,MATCH($A214,'Lançamento'!$A$6:$A$35,0),$B214)),""))</f>
        <v/>
      </c>
      <c r="E214" s="12" t="n"/>
      <c r="F214" s="15">
        <f>IF($A214="","",IF(OR($D214="",$E214=""),"Digitar valor do print",IF(ABS($D214-$E214)&lt;=0.001,"✔ Confere","⚠ Divergente")))</f>
        <v/>
      </c>
      <c r="G214" s="39" t="n"/>
      <c r="H214" s="39" t="n"/>
      <c r="I214" s="41" t="n"/>
      <c r="J214" s="39" t="n"/>
    </row>
    <row r="215">
      <c r="A215" s="38" t="n"/>
      <c r="B215" s="39" t="n"/>
      <c r="C215" s="15">
        <f>IF($A215="","",CHOOSE($B215,"JAN","FEV","MAR","ABR","MAI","JUN","JUL","AGO","SET","OUT","NOV","DEZ"))</f>
        <v/>
      </c>
      <c r="D215" s="40">
        <f>IF($A215="","",IFERROR(IF(INDEX('Lançamento'!$B$6:$M$35,MATCH($A215,'Lançamento'!$A$6:$A$35,0),$B215)="","",INDEX('Lançamento'!$B$6:$M$35,MATCH($A215,'Lançamento'!$A$6:$A$35,0),$B215)),""))</f>
        <v/>
      </c>
      <c r="E215" s="12" t="n"/>
      <c r="F215" s="15">
        <f>IF($A215="","",IF(OR($D215="",$E215=""),"Digitar valor do print",IF(ABS($D215-$E215)&lt;=0.001,"✔ Confere","⚠ Divergente")))</f>
        <v/>
      </c>
      <c r="G215" s="39" t="n"/>
      <c r="H215" s="39" t="n"/>
      <c r="I215" s="41" t="n"/>
      <c r="J215" s="39" t="n"/>
    </row>
    <row r="216">
      <c r="A216" s="38" t="n"/>
      <c r="B216" s="39" t="n"/>
      <c r="C216" s="15">
        <f>IF($A216="","",CHOOSE($B216,"JAN","FEV","MAR","ABR","MAI","JUN","JUL","AGO","SET","OUT","NOV","DEZ"))</f>
        <v/>
      </c>
      <c r="D216" s="40">
        <f>IF($A216="","",IFERROR(IF(INDEX('Lançamento'!$B$6:$M$35,MATCH($A216,'Lançamento'!$A$6:$A$35,0),$B216)="","",INDEX('Lançamento'!$B$6:$M$35,MATCH($A216,'Lançamento'!$A$6:$A$35,0),$B216)),""))</f>
        <v/>
      </c>
      <c r="E216" s="12" t="n"/>
      <c r="F216" s="15">
        <f>IF($A216="","",IF(OR($D216="",$E216=""),"Digitar valor do print",IF(ABS($D216-$E216)&lt;=0.001,"✔ Confere","⚠ Divergente")))</f>
        <v/>
      </c>
      <c r="G216" s="39" t="n"/>
      <c r="H216" s="39" t="n"/>
      <c r="I216" s="41" t="n"/>
      <c r="J216" s="39" t="n"/>
    </row>
    <row r="217">
      <c r="A217" s="38" t="n"/>
      <c r="B217" s="39" t="n"/>
      <c r="C217" s="15">
        <f>IF($A217="","",CHOOSE($B217,"JAN","FEV","MAR","ABR","MAI","JUN","JUL","AGO","SET","OUT","NOV","DEZ"))</f>
        <v/>
      </c>
      <c r="D217" s="40">
        <f>IF($A217="","",IFERROR(IF(INDEX('Lançamento'!$B$6:$M$35,MATCH($A217,'Lançamento'!$A$6:$A$35,0),$B217)="","",INDEX('Lançamento'!$B$6:$M$35,MATCH($A217,'Lançamento'!$A$6:$A$35,0),$B217)),""))</f>
        <v/>
      </c>
      <c r="E217" s="12" t="n"/>
      <c r="F217" s="15">
        <f>IF($A217="","",IF(OR($D217="",$E217=""),"Digitar valor do print",IF(ABS($D217-$E217)&lt;=0.001,"✔ Confere","⚠ Divergente")))</f>
        <v/>
      </c>
      <c r="G217" s="39" t="n"/>
      <c r="H217" s="39" t="n"/>
      <c r="I217" s="41" t="n"/>
      <c r="J217" s="39" t="n"/>
    </row>
    <row r="218">
      <c r="A218" s="38" t="n"/>
      <c r="B218" s="39" t="n"/>
      <c r="C218" s="15">
        <f>IF($A218="","",CHOOSE($B218,"JAN","FEV","MAR","ABR","MAI","JUN","JUL","AGO","SET","OUT","NOV","DEZ"))</f>
        <v/>
      </c>
      <c r="D218" s="40">
        <f>IF($A218="","",IFERROR(IF(INDEX('Lançamento'!$B$6:$M$35,MATCH($A218,'Lançamento'!$A$6:$A$35,0),$B218)="","",INDEX('Lançamento'!$B$6:$M$35,MATCH($A218,'Lançamento'!$A$6:$A$35,0),$B218)),""))</f>
        <v/>
      </c>
      <c r="E218" s="12" t="n"/>
      <c r="F218" s="15">
        <f>IF($A218="","",IF(OR($D218="",$E218=""),"Digitar valor do print",IF(ABS($D218-$E218)&lt;=0.001,"✔ Confere","⚠ Divergente")))</f>
        <v/>
      </c>
      <c r="G218" s="39" t="n"/>
      <c r="H218" s="39" t="n"/>
      <c r="I218" s="41" t="n"/>
      <c r="J218" s="39" t="n"/>
    </row>
    <row r="219">
      <c r="A219" s="38" t="n"/>
      <c r="B219" s="39" t="n"/>
      <c r="C219" s="15">
        <f>IF($A219="","",CHOOSE($B219,"JAN","FEV","MAR","ABR","MAI","JUN","JUL","AGO","SET","OUT","NOV","DEZ"))</f>
        <v/>
      </c>
      <c r="D219" s="40">
        <f>IF($A219="","",IFERROR(IF(INDEX('Lançamento'!$B$6:$M$35,MATCH($A219,'Lançamento'!$A$6:$A$35,0),$B219)="","",INDEX('Lançamento'!$B$6:$M$35,MATCH($A219,'Lançamento'!$A$6:$A$35,0),$B219)),""))</f>
        <v/>
      </c>
      <c r="E219" s="12" t="n"/>
      <c r="F219" s="15">
        <f>IF($A219="","",IF(OR($D219="",$E219=""),"Digitar valor do print",IF(ABS($D219-$E219)&lt;=0.001,"✔ Confere","⚠ Divergente")))</f>
        <v/>
      </c>
      <c r="G219" s="39" t="n"/>
      <c r="H219" s="39" t="n"/>
      <c r="I219" s="41" t="n"/>
      <c r="J219" s="39" t="n"/>
    </row>
    <row r="220">
      <c r="A220" s="38" t="n"/>
      <c r="B220" s="39" t="n"/>
      <c r="C220" s="15">
        <f>IF($A220="","",CHOOSE($B220,"JAN","FEV","MAR","ABR","MAI","JUN","JUL","AGO","SET","OUT","NOV","DEZ"))</f>
        <v/>
      </c>
      <c r="D220" s="40">
        <f>IF($A220="","",IFERROR(IF(INDEX('Lançamento'!$B$6:$M$35,MATCH($A220,'Lançamento'!$A$6:$A$35,0),$B220)="","",INDEX('Lançamento'!$B$6:$M$35,MATCH($A220,'Lançamento'!$A$6:$A$35,0),$B220)),""))</f>
        <v/>
      </c>
      <c r="E220" s="12" t="n"/>
      <c r="F220" s="15">
        <f>IF($A220="","",IF(OR($D220="",$E220=""),"Digitar valor do print",IF(ABS($D220-$E220)&lt;=0.001,"✔ Confere","⚠ Divergente")))</f>
        <v/>
      </c>
      <c r="G220" s="39" t="n"/>
      <c r="H220" s="39" t="n"/>
      <c r="I220" s="41" t="n"/>
      <c r="J220" s="39" t="n"/>
    </row>
    <row r="221">
      <c r="A221" s="38" t="n"/>
      <c r="B221" s="39" t="n"/>
      <c r="C221" s="15">
        <f>IF($A221="","",CHOOSE($B221,"JAN","FEV","MAR","ABR","MAI","JUN","JUL","AGO","SET","OUT","NOV","DEZ"))</f>
        <v/>
      </c>
      <c r="D221" s="40">
        <f>IF($A221="","",IFERROR(IF(INDEX('Lançamento'!$B$6:$M$35,MATCH($A221,'Lançamento'!$A$6:$A$35,0),$B221)="","",INDEX('Lançamento'!$B$6:$M$35,MATCH($A221,'Lançamento'!$A$6:$A$35,0),$B221)),""))</f>
        <v/>
      </c>
      <c r="E221" s="12" t="n"/>
      <c r="F221" s="15">
        <f>IF($A221="","",IF(OR($D221="",$E221=""),"Digitar valor do print",IF(ABS($D221-$E221)&lt;=0.001,"✔ Confere","⚠ Divergente")))</f>
        <v/>
      </c>
      <c r="G221" s="39" t="n"/>
      <c r="H221" s="39" t="n"/>
      <c r="I221" s="41" t="n"/>
      <c r="J221" s="39" t="n"/>
    </row>
    <row r="222">
      <c r="A222" s="38" t="n"/>
      <c r="B222" s="39" t="n"/>
      <c r="C222" s="15">
        <f>IF($A222="","",CHOOSE($B222,"JAN","FEV","MAR","ABR","MAI","JUN","JUL","AGO","SET","OUT","NOV","DEZ"))</f>
        <v/>
      </c>
      <c r="D222" s="40">
        <f>IF($A222="","",IFERROR(IF(INDEX('Lançamento'!$B$6:$M$35,MATCH($A222,'Lançamento'!$A$6:$A$35,0),$B222)="","",INDEX('Lançamento'!$B$6:$M$35,MATCH($A222,'Lançamento'!$A$6:$A$35,0),$B222)),""))</f>
        <v/>
      </c>
      <c r="E222" s="12" t="n"/>
      <c r="F222" s="15">
        <f>IF($A222="","",IF(OR($D222="",$E222=""),"Digitar valor do print",IF(ABS($D222-$E222)&lt;=0.001,"✔ Confere","⚠ Divergente")))</f>
        <v/>
      </c>
      <c r="G222" s="39" t="n"/>
      <c r="H222" s="39" t="n"/>
      <c r="I222" s="41" t="n"/>
      <c r="J222" s="39" t="n"/>
    </row>
    <row r="223">
      <c r="A223" s="38" t="n"/>
      <c r="B223" s="39" t="n"/>
      <c r="C223" s="15">
        <f>IF($A223="","",CHOOSE($B223,"JAN","FEV","MAR","ABR","MAI","JUN","JUL","AGO","SET","OUT","NOV","DEZ"))</f>
        <v/>
      </c>
      <c r="D223" s="40">
        <f>IF($A223="","",IFERROR(IF(INDEX('Lançamento'!$B$6:$M$35,MATCH($A223,'Lançamento'!$A$6:$A$35,0),$B223)="","",INDEX('Lançamento'!$B$6:$M$35,MATCH($A223,'Lançamento'!$A$6:$A$35,0),$B223)),""))</f>
        <v/>
      </c>
      <c r="E223" s="12" t="n"/>
      <c r="F223" s="15">
        <f>IF($A223="","",IF(OR($D223="",$E223=""),"Digitar valor do print",IF(ABS($D223-$E223)&lt;=0.001,"✔ Confere","⚠ Divergente")))</f>
        <v/>
      </c>
      <c r="G223" s="39" t="n"/>
      <c r="H223" s="39" t="n"/>
      <c r="I223" s="41" t="n"/>
      <c r="J223" s="39" t="n"/>
    </row>
    <row r="224">
      <c r="A224" s="38" t="n"/>
      <c r="B224" s="39" t="n"/>
      <c r="C224" s="15">
        <f>IF($A224="","",CHOOSE($B224,"JAN","FEV","MAR","ABR","MAI","JUN","JUL","AGO","SET","OUT","NOV","DEZ"))</f>
        <v/>
      </c>
      <c r="D224" s="40">
        <f>IF($A224="","",IFERROR(IF(INDEX('Lançamento'!$B$6:$M$35,MATCH($A224,'Lançamento'!$A$6:$A$35,0),$B224)="","",INDEX('Lançamento'!$B$6:$M$35,MATCH($A224,'Lançamento'!$A$6:$A$35,0),$B224)),""))</f>
        <v/>
      </c>
      <c r="E224" s="12" t="n"/>
      <c r="F224" s="15">
        <f>IF($A224="","",IF(OR($D224="",$E224=""),"Digitar valor do print",IF(ABS($D224-$E224)&lt;=0.001,"✔ Confere","⚠ Divergente")))</f>
        <v/>
      </c>
      <c r="G224" s="39" t="n"/>
      <c r="H224" s="39" t="n"/>
      <c r="I224" s="41" t="n"/>
      <c r="J224" s="39" t="n"/>
    </row>
    <row r="225">
      <c r="A225" s="38" t="n"/>
      <c r="B225" s="39" t="n"/>
      <c r="C225" s="15">
        <f>IF($A225="","",CHOOSE($B225,"JAN","FEV","MAR","ABR","MAI","JUN","JUL","AGO","SET","OUT","NOV","DEZ"))</f>
        <v/>
      </c>
      <c r="D225" s="40">
        <f>IF($A225="","",IFERROR(IF(INDEX('Lançamento'!$B$6:$M$35,MATCH($A225,'Lançamento'!$A$6:$A$35,0),$B225)="","",INDEX('Lançamento'!$B$6:$M$35,MATCH($A225,'Lançamento'!$A$6:$A$35,0),$B225)),""))</f>
        <v/>
      </c>
      <c r="E225" s="12" t="n"/>
      <c r="F225" s="15">
        <f>IF($A225="","",IF(OR($D225="",$E225=""),"Digitar valor do print",IF(ABS($D225-$E225)&lt;=0.001,"✔ Confere","⚠ Divergente")))</f>
        <v/>
      </c>
      <c r="G225" s="39" t="n"/>
      <c r="H225" s="39" t="n"/>
      <c r="I225" s="41" t="n"/>
      <c r="J225" s="39" t="n"/>
    </row>
    <row r="226">
      <c r="A226" s="38" t="n"/>
      <c r="B226" s="39" t="n"/>
      <c r="C226" s="15">
        <f>IF($A226="","",CHOOSE($B226,"JAN","FEV","MAR","ABR","MAI","JUN","JUL","AGO","SET","OUT","NOV","DEZ"))</f>
        <v/>
      </c>
      <c r="D226" s="40">
        <f>IF($A226="","",IFERROR(IF(INDEX('Lançamento'!$B$6:$M$35,MATCH($A226,'Lançamento'!$A$6:$A$35,0),$B226)="","",INDEX('Lançamento'!$B$6:$M$35,MATCH($A226,'Lançamento'!$A$6:$A$35,0),$B226)),""))</f>
        <v/>
      </c>
      <c r="E226" s="12" t="n"/>
      <c r="F226" s="15">
        <f>IF($A226="","",IF(OR($D226="",$E226=""),"Digitar valor do print",IF(ABS($D226-$E226)&lt;=0.001,"✔ Confere","⚠ Divergente")))</f>
        <v/>
      </c>
      <c r="G226" s="39" t="n"/>
      <c r="H226" s="39" t="n"/>
      <c r="I226" s="41" t="n"/>
      <c r="J226" s="39" t="n"/>
    </row>
    <row r="227">
      <c r="A227" s="38" t="n"/>
      <c r="B227" s="39" t="n"/>
      <c r="C227" s="15">
        <f>IF($A227="","",CHOOSE($B227,"JAN","FEV","MAR","ABR","MAI","JUN","JUL","AGO","SET","OUT","NOV","DEZ"))</f>
        <v/>
      </c>
      <c r="D227" s="40">
        <f>IF($A227="","",IFERROR(IF(INDEX('Lançamento'!$B$6:$M$35,MATCH($A227,'Lançamento'!$A$6:$A$35,0),$B227)="","",INDEX('Lançamento'!$B$6:$M$35,MATCH($A227,'Lançamento'!$A$6:$A$35,0),$B227)),""))</f>
        <v/>
      </c>
      <c r="E227" s="12" t="n"/>
      <c r="F227" s="15">
        <f>IF($A227="","",IF(OR($D227="",$E227=""),"Digitar valor do print",IF(ABS($D227-$E227)&lt;=0.001,"✔ Confere","⚠ Divergente")))</f>
        <v/>
      </c>
      <c r="G227" s="39" t="n"/>
      <c r="H227" s="39" t="n"/>
      <c r="I227" s="41" t="n"/>
      <c r="J227" s="39" t="n"/>
    </row>
    <row r="228">
      <c r="A228" s="38" t="n"/>
      <c r="B228" s="39" t="n"/>
      <c r="C228" s="15">
        <f>IF($A228="","",CHOOSE($B228,"JAN","FEV","MAR","ABR","MAI","JUN","JUL","AGO","SET","OUT","NOV","DEZ"))</f>
        <v/>
      </c>
      <c r="D228" s="40">
        <f>IF($A228="","",IFERROR(IF(INDEX('Lançamento'!$B$6:$M$35,MATCH($A228,'Lançamento'!$A$6:$A$35,0),$B228)="","",INDEX('Lançamento'!$B$6:$M$35,MATCH($A228,'Lançamento'!$A$6:$A$35,0),$B228)),""))</f>
        <v/>
      </c>
      <c r="E228" s="12" t="n"/>
      <c r="F228" s="15">
        <f>IF($A228="","",IF(OR($D228="",$E228=""),"Digitar valor do print",IF(ABS($D228-$E228)&lt;=0.001,"✔ Confere","⚠ Divergente")))</f>
        <v/>
      </c>
      <c r="G228" s="39" t="n"/>
      <c r="H228" s="39" t="n"/>
      <c r="I228" s="41" t="n"/>
      <c r="J228" s="39" t="n"/>
    </row>
    <row r="229">
      <c r="A229" s="38" t="n"/>
      <c r="B229" s="39" t="n"/>
      <c r="C229" s="15">
        <f>IF($A229="","",CHOOSE($B229,"JAN","FEV","MAR","ABR","MAI","JUN","JUL","AGO","SET","OUT","NOV","DEZ"))</f>
        <v/>
      </c>
      <c r="D229" s="40">
        <f>IF($A229="","",IFERROR(IF(INDEX('Lançamento'!$B$6:$M$35,MATCH($A229,'Lançamento'!$A$6:$A$35,0),$B229)="","",INDEX('Lançamento'!$B$6:$M$35,MATCH($A229,'Lançamento'!$A$6:$A$35,0),$B229)),""))</f>
        <v/>
      </c>
      <c r="E229" s="12" t="n"/>
      <c r="F229" s="15">
        <f>IF($A229="","",IF(OR($D229="",$E229=""),"Digitar valor do print",IF(ABS($D229-$E229)&lt;=0.001,"✔ Confere","⚠ Divergente")))</f>
        <v/>
      </c>
      <c r="G229" s="39" t="n"/>
      <c r="H229" s="39" t="n"/>
      <c r="I229" s="41" t="n"/>
      <c r="J229" s="39" t="n"/>
    </row>
    <row r="230">
      <c r="A230" s="38" t="n"/>
      <c r="B230" s="39" t="n"/>
      <c r="C230" s="15">
        <f>IF($A230="","",CHOOSE($B230,"JAN","FEV","MAR","ABR","MAI","JUN","JUL","AGO","SET","OUT","NOV","DEZ"))</f>
        <v/>
      </c>
      <c r="D230" s="40">
        <f>IF($A230="","",IFERROR(IF(INDEX('Lançamento'!$B$6:$M$35,MATCH($A230,'Lançamento'!$A$6:$A$35,0),$B230)="","",INDEX('Lançamento'!$B$6:$M$35,MATCH($A230,'Lançamento'!$A$6:$A$35,0),$B230)),""))</f>
        <v/>
      </c>
      <c r="E230" s="12" t="n"/>
      <c r="F230" s="15">
        <f>IF($A230="","",IF(OR($D230="",$E230=""),"Digitar valor do print",IF(ABS($D230-$E230)&lt;=0.001,"✔ Confere","⚠ Divergente")))</f>
        <v/>
      </c>
      <c r="G230" s="39" t="n"/>
      <c r="H230" s="39" t="n"/>
      <c r="I230" s="41" t="n"/>
      <c r="J230" s="39" t="n"/>
    </row>
    <row r="231">
      <c r="A231" s="38" t="n"/>
      <c r="B231" s="39" t="n"/>
      <c r="C231" s="15">
        <f>IF($A231="","",CHOOSE($B231,"JAN","FEV","MAR","ABR","MAI","JUN","JUL","AGO","SET","OUT","NOV","DEZ"))</f>
        <v/>
      </c>
      <c r="D231" s="40">
        <f>IF($A231="","",IFERROR(IF(INDEX('Lançamento'!$B$6:$M$35,MATCH($A231,'Lançamento'!$A$6:$A$35,0),$B231)="","",INDEX('Lançamento'!$B$6:$M$35,MATCH($A231,'Lançamento'!$A$6:$A$35,0),$B231)),""))</f>
        <v/>
      </c>
      <c r="E231" s="12" t="n"/>
      <c r="F231" s="15">
        <f>IF($A231="","",IF(OR($D231="",$E231=""),"Digitar valor do print",IF(ABS($D231-$E231)&lt;=0.001,"✔ Confere","⚠ Divergente")))</f>
        <v/>
      </c>
      <c r="G231" s="39" t="n"/>
      <c r="H231" s="39" t="n"/>
      <c r="I231" s="41" t="n"/>
      <c r="J231" s="39" t="n"/>
    </row>
    <row r="232">
      <c r="A232" s="38" t="n"/>
      <c r="B232" s="39" t="n"/>
      <c r="C232" s="15">
        <f>IF($A232="","",CHOOSE($B232,"JAN","FEV","MAR","ABR","MAI","JUN","JUL","AGO","SET","OUT","NOV","DEZ"))</f>
        <v/>
      </c>
      <c r="D232" s="40">
        <f>IF($A232="","",IFERROR(IF(INDEX('Lançamento'!$B$6:$M$35,MATCH($A232,'Lançamento'!$A$6:$A$35,0),$B232)="","",INDEX('Lançamento'!$B$6:$M$35,MATCH($A232,'Lançamento'!$A$6:$A$35,0),$B232)),""))</f>
        <v/>
      </c>
      <c r="E232" s="12" t="n"/>
      <c r="F232" s="15">
        <f>IF($A232="","",IF(OR($D232="",$E232=""),"Digitar valor do print",IF(ABS($D232-$E232)&lt;=0.001,"✔ Confere","⚠ Divergente")))</f>
        <v/>
      </c>
      <c r="G232" s="39" t="n"/>
      <c r="H232" s="39" t="n"/>
      <c r="I232" s="41" t="n"/>
      <c r="J232" s="39" t="n"/>
    </row>
    <row r="233">
      <c r="A233" s="38" t="n"/>
      <c r="B233" s="39" t="n"/>
      <c r="C233" s="15">
        <f>IF($A233="","",CHOOSE($B233,"JAN","FEV","MAR","ABR","MAI","JUN","JUL","AGO","SET","OUT","NOV","DEZ"))</f>
        <v/>
      </c>
      <c r="D233" s="40">
        <f>IF($A233="","",IFERROR(IF(INDEX('Lançamento'!$B$6:$M$35,MATCH($A233,'Lançamento'!$A$6:$A$35,0),$B233)="","",INDEX('Lançamento'!$B$6:$M$35,MATCH($A233,'Lançamento'!$A$6:$A$35,0),$B233)),""))</f>
        <v/>
      </c>
      <c r="E233" s="12" t="n"/>
      <c r="F233" s="15">
        <f>IF($A233="","",IF(OR($D233="",$E233=""),"Digitar valor do print",IF(ABS($D233-$E233)&lt;=0.001,"✔ Confere","⚠ Divergente")))</f>
        <v/>
      </c>
      <c r="G233" s="39" t="n"/>
      <c r="H233" s="39" t="n"/>
      <c r="I233" s="41" t="n"/>
      <c r="J233" s="39" t="n"/>
    </row>
    <row r="234">
      <c r="A234" s="38" t="n"/>
      <c r="B234" s="39" t="n"/>
      <c r="C234" s="15">
        <f>IF($A234="","",CHOOSE($B234,"JAN","FEV","MAR","ABR","MAI","JUN","JUL","AGO","SET","OUT","NOV","DEZ"))</f>
        <v/>
      </c>
      <c r="D234" s="40">
        <f>IF($A234="","",IFERROR(IF(INDEX('Lançamento'!$B$6:$M$35,MATCH($A234,'Lançamento'!$A$6:$A$35,0),$B234)="","",INDEX('Lançamento'!$B$6:$M$35,MATCH($A234,'Lançamento'!$A$6:$A$35,0),$B234)),""))</f>
        <v/>
      </c>
      <c r="E234" s="12" t="n"/>
      <c r="F234" s="15">
        <f>IF($A234="","",IF(OR($D234="",$E234=""),"Digitar valor do print",IF(ABS($D234-$E234)&lt;=0.001,"✔ Confere","⚠ Divergente")))</f>
        <v/>
      </c>
      <c r="G234" s="39" t="n"/>
      <c r="H234" s="39" t="n"/>
      <c r="I234" s="41" t="n"/>
      <c r="J234" s="39" t="n"/>
    </row>
    <row r="235">
      <c r="A235" s="38" t="n"/>
      <c r="B235" s="39" t="n"/>
      <c r="C235" s="15">
        <f>IF($A235="","",CHOOSE($B235,"JAN","FEV","MAR","ABR","MAI","JUN","JUL","AGO","SET","OUT","NOV","DEZ"))</f>
        <v/>
      </c>
      <c r="D235" s="40">
        <f>IF($A235="","",IFERROR(IF(INDEX('Lançamento'!$B$6:$M$35,MATCH($A235,'Lançamento'!$A$6:$A$35,0),$B235)="","",INDEX('Lançamento'!$B$6:$M$35,MATCH($A235,'Lançamento'!$A$6:$A$35,0),$B235)),""))</f>
        <v/>
      </c>
      <c r="E235" s="12" t="n"/>
      <c r="F235" s="15">
        <f>IF($A235="","",IF(OR($D235="",$E235=""),"Digitar valor do print",IF(ABS($D235-$E235)&lt;=0.001,"✔ Confere","⚠ Divergente")))</f>
        <v/>
      </c>
      <c r="G235" s="39" t="n"/>
      <c r="H235" s="39" t="n"/>
      <c r="I235" s="41" t="n"/>
      <c r="J235" s="39" t="n"/>
    </row>
    <row r="236">
      <c r="A236" s="38" t="n"/>
      <c r="B236" s="39" t="n"/>
      <c r="C236" s="15">
        <f>IF($A236="","",CHOOSE($B236,"JAN","FEV","MAR","ABR","MAI","JUN","JUL","AGO","SET","OUT","NOV","DEZ"))</f>
        <v/>
      </c>
      <c r="D236" s="40">
        <f>IF($A236="","",IFERROR(IF(INDEX('Lançamento'!$B$6:$M$35,MATCH($A236,'Lançamento'!$A$6:$A$35,0),$B236)="","",INDEX('Lançamento'!$B$6:$M$35,MATCH($A236,'Lançamento'!$A$6:$A$35,0),$B236)),""))</f>
        <v/>
      </c>
      <c r="E236" s="12" t="n"/>
      <c r="F236" s="15">
        <f>IF($A236="","",IF(OR($D236="",$E236=""),"Digitar valor do print",IF(ABS($D236-$E236)&lt;=0.001,"✔ Confere","⚠ Divergente")))</f>
        <v/>
      </c>
      <c r="G236" s="39" t="n"/>
      <c r="H236" s="39" t="n"/>
      <c r="I236" s="41" t="n"/>
      <c r="J236" s="39" t="n"/>
    </row>
    <row r="237">
      <c r="A237" s="38" t="n"/>
      <c r="B237" s="39" t="n"/>
      <c r="C237" s="15">
        <f>IF($A237="","",CHOOSE($B237,"JAN","FEV","MAR","ABR","MAI","JUN","JUL","AGO","SET","OUT","NOV","DEZ"))</f>
        <v/>
      </c>
      <c r="D237" s="40">
        <f>IF($A237="","",IFERROR(IF(INDEX('Lançamento'!$B$6:$M$35,MATCH($A237,'Lançamento'!$A$6:$A$35,0),$B237)="","",INDEX('Lançamento'!$B$6:$M$35,MATCH($A237,'Lançamento'!$A$6:$A$35,0),$B237)),""))</f>
        <v/>
      </c>
      <c r="E237" s="12" t="n"/>
      <c r="F237" s="15">
        <f>IF($A237="","",IF(OR($D237="",$E237=""),"Digitar valor do print",IF(ABS($D237-$E237)&lt;=0.001,"✔ Confere","⚠ Divergente")))</f>
        <v/>
      </c>
      <c r="G237" s="39" t="n"/>
      <c r="H237" s="39" t="n"/>
      <c r="I237" s="41" t="n"/>
      <c r="J237" s="39" t="n"/>
    </row>
    <row r="238">
      <c r="A238" s="38" t="n"/>
      <c r="B238" s="39" t="n"/>
      <c r="C238" s="15">
        <f>IF($A238="","",CHOOSE($B238,"JAN","FEV","MAR","ABR","MAI","JUN","JUL","AGO","SET","OUT","NOV","DEZ"))</f>
        <v/>
      </c>
      <c r="D238" s="40">
        <f>IF($A238="","",IFERROR(IF(INDEX('Lançamento'!$B$6:$M$35,MATCH($A238,'Lançamento'!$A$6:$A$35,0),$B238)="","",INDEX('Lançamento'!$B$6:$M$35,MATCH($A238,'Lançamento'!$A$6:$A$35,0),$B238)),""))</f>
        <v/>
      </c>
      <c r="E238" s="12" t="n"/>
      <c r="F238" s="15">
        <f>IF($A238="","",IF(OR($D238="",$E238=""),"Digitar valor do print",IF(ABS($D238-$E238)&lt;=0.001,"✔ Confere","⚠ Divergente")))</f>
        <v/>
      </c>
      <c r="G238" s="39" t="n"/>
      <c r="H238" s="39" t="n"/>
      <c r="I238" s="41" t="n"/>
      <c r="J238" s="39" t="n"/>
    </row>
    <row r="239">
      <c r="A239" s="38" t="n"/>
      <c r="B239" s="39" t="n"/>
      <c r="C239" s="15">
        <f>IF($A239="","",CHOOSE($B239,"JAN","FEV","MAR","ABR","MAI","JUN","JUL","AGO","SET","OUT","NOV","DEZ"))</f>
        <v/>
      </c>
      <c r="D239" s="40">
        <f>IF($A239="","",IFERROR(IF(INDEX('Lançamento'!$B$6:$M$35,MATCH($A239,'Lançamento'!$A$6:$A$35,0),$B239)="","",INDEX('Lançamento'!$B$6:$M$35,MATCH($A239,'Lançamento'!$A$6:$A$35,0),$B239)),""))</f>
        <v/>
      </c>
      <c r="E239" s="12" t="n"/>
      <c r="F239" s="15">
        <f>IF($A239="","",IF(OR($D239="",$E239=""),"Digitar valor do print",IF(ABS($D239-$E239)&lt;=0.001,"✔ Confere","⚠ Divergente")))</f>
        <v/>
      </c>
      <c r="G239" s="39" t="n"/>
      <c r="H239" s="39" t="n"/>
      <c r="I239" s="41" t="n"/>
      <c r="J239" s="39" t="n"/>
    </row>
    <row r="240">
      <c r="A240" s="38" t="n"/>
      <c r="B240" s="39" t="n"/>
      <c r="C240" s="15">
        <f>IF($A240="","",CHOOSE($B240,"JAN","FEV","MAR","ABR","MAI","JUN","JUL","AGO","SET","OUT","NOV","DEZ"))</f>
        <v/>
      </c>
      <c r="D240" s="40">
        <f>IF($A240="","",IFERROR(IF(INDEX('Lançamento'!$B$6:$M$35,MATCH($A240,'Lançamento'!$A$6:$A$35,0),$B240)="","",INDEX('Lançamento'!$B$6:$M$35,MATCH($A240,'Lançamento'!$A$6:$A$35,0),$B240)),""))</f>
        <v/>
      </c>
      <c r="E240" s="12" t="n"/>
      <c r="F240" s="15">
        <f>IF($A240="","",IF(OR($D240="",$E240=""),"Digitar valor do print",IF(ABS($D240-$E240)&lt;=0.001,"✔ Confere","⚠ Divergente")))</f>
        <v/>
      </c>
      <c r="G240" s="39" t="n"/>
      <c r="H240" s="39" t="n"/>
      <c r="I240" s="41" t="n"/>
      <c r="J240" s="39" t="n"/>
    </row>
    <row r="241">
      <c r="A241" s="38" t="n"/>
      <c r="B241" s="39" t="n"/>
      <c r="C241" s="15">
        <f>IF($A241="","",CHOOSE($B241,"JAN","FEV","MAR","ABR","MAI","JUN","JUL","AGO","SET","OUT","NOV","DEZ"))</f>
        <v/>
      </c>
      <c r="D241" s="40">
        <f>IF($A241="","",IFERROR(IF(INDEX('Lançamento'!$B$6:$M$35,MATCH($A241,'Lançamento'!$A$6:$A$35,0),$B241)="","",INDEX('Lançamento'!$B$6:$M$35,MATCH($A241,'Lançamento'!$A$6:$A$35,0),$B241)),""))</f>
        <v/>
      </c>
      <c r="E241" s="12" t="n"/>
      <c r="F241" s="15">
        <f>IF($A241="","",IF(OR($D241="",$E241=""),"Digitar valor do print",IF(ABS($D241-$E241)&lt;=0.001,"✔ Confere","⚠ Divergente")))</f>
        <v/>
      </c>
      <c r="G241" s="39" t="n"/>
      <c r="H241" s="39" t="n"/>
      <c r="I241" s="41" t="n"/>
      <c r="J241" s="39" t="n"/>
    </row>
    <row r="242">
      <c r="A242" s="38" t="n"/>
      <c r="B242" s="39" t="n"/>
      <c r="C242" s="15">
        <f>IF($A242="","",CHOOSE($B242,"JAN","FEV","MAR","ABR","MAI","JUN","JUL","AGO","SET","OUT","NOV","DEZ"))</f>
        <v/>
      </c>
      <c r="D242" s="40">
        <f>IF($A242="","",IFERROR(IF(INDEX('Lançamento'!$B$6:$M$35,MATCH($A242,'Lançamento'!$A$6:$A$35,0),$B242)="","",INDEX('Lançamento'!$B$6:$M$35,MATCH($A242,'Lançamento'!$A$6:$A$35,0),$B242)),""))</f>
        <v/>
      </c>
      <c r="E242" s="12" t="n"/>
      <c r="F242" s="15">
        <f>IF($A242="","",IF(OR($D242="",$E242=""),"Digitar valor do print",IF(ABS($D242-$E242)&lt;=0.001,"✔ Confere","⚠ Divergente")))</f>
        <v/>
      </c>
      <c r="G242" s="39" t="n"/>
      <c r="H242" s="39" t="n"/>
      <c r="I242" s="41" t="n"/>
      <c r="J242" s="39" t="n"/>
    </row>
    <row r="243">
      <c r="A243" s="38" t="n"/>
      <c r="B243" s="39" t="n"/>
      <c r="C243" s="15">
        <f>IF($A243="","",CHOOSE($B243,"JAN","FEV","MAR","ABR","MAI","JUN","JUL","AGO","SET","OUT","NOV","DEZ"))</f>
        <v/>
      </c>
      <c r="D243" s="40">
        <f>IF($A243="","",IFERROR(IF(INDEX('Lançamento'!$B$6:$M$35,MATCH($A243,'Lançamento'!$A$6:$A$35,0),$B243)="","",INDEX('Lançamento'!$B$6:$M$35,MATCH($A243,'Lançamento'!$A$6:$A$35,0),$B243)),""))</f>
        <v/>
      </c>
      <c r="E243" s="12" t="n"/>
      <c r="F243" s="15">
        <f>IF($A243="","",IF(OR($D243="",$E243=""),"Digitar valor do print",IF(ABS($D243-$E243)&lt;=0.001,"✔ Confere","⚠ Divergente")))</f>
        <v/>
      </c>
      <c r="G243" s="39" t="n"/>
      <c r="H243" s="39" t="n"/>
      <c r="I243" s="41" t="n"/>
      <c r="J243" s="39" t="n"/>
    </row>
    <row r="244">
      <c r="A244" s="38" t="n"/>
      <c r="B244" s="39" t="n"/>
      <c r="C244" s="15">
        <f>IF($A244="","",CHOOSE($B244,"JAN","FEV","MAR","ABR","MAI","JUN","JUL","AGO","SET","OUT","NOV","DEZ"))</f>
        <v/>
      </c>
      <c r="D244" s="40">
        <f>IF($A244="","",IFERROR(IF(INDEX('Lançamento'!$B$6:$M$35,MATCH($A244,'Lançamento'!$A$6:$A$35,0),$B244)="","",INDEX('Lançamento'!$B$6:$M$35,MATCH($A244,'Lançamento'!$A$6:$A$35,0),$B244)),""))</f>
        <v/>
      </c>
      <c r="E244" s="12" t="n"/>
      <c r="F244" s="15">
        <f>IF($A244="","",IF(OR($D244="",$E244=""),"Digitar valor do print",IF(ABS($D244-$E244)&lt;=0.001,"✔ Confere","⚠ Divergente")))</f>
        <v/>
      </c>
      <c r="G244" s="39" t="n"/>
      <c r="H244" s="39" t="n"/>
      <c r="I244" s="41" t="n"/>
      <c r="J244" s="39" t="n"/>
    </row>
    <row r="245">
      <c r="A245" s="38" t="n"/>
      <c r="B245" s="39" t="n"/>
      <c r="C245" s="15">
        <f>IF($A245="","",CHOOSE($B245,"JAN","FEV","MAR","ABR","MAI","JUN","JUL","AGO","SET","OUT","NOV","DEZ"))</f>
        <v/>
      </c>
      <c r="D245" s="40">
        <f>IF($A245="","",IFERROR(IF(INDEX('Lançamento'!$B$6:$M$35,MATCH($A245,'Lançamento'!$A$6:$A$35,0),$B245)="","",INDEX('Lançamento'!$B$6:$M$35,MATCH($A245,'Lançamento'!$A$6:$A$35,0),$B245)),""))</f>
        <v/>
      </c>
      <c r="E245" s="12" t="n"/>
      <c r="F245" s="15">
        <f>IF($A245="","",IF(OR($D245="",$E245=""),"Digitar valor do print",IF(ABS($D245-$E245)&lt;=0.001,"✔ Confere","⚠ Divergente")))</f>
        <v/>
      </c>
      <c r="G245" s="39" t="n"/>
      <c r="H245" s="39" t="n"/>
      <c r="I245" s="41" t="n"/>
      <c r="J245" s="39" t="n"/>
    </row>
    <row r="246">
      <c r="A246" s="38" t="n"/>
      <c r="B246" s="39" t="n"/>
      <c r="C246" s="15">
        <f>IF($A246="","",CHOOSE($B246,"JAN","FEV","MAR","ABR","MAI","JUN","JUL","AGO","SET","OUT","NOV","DEZ"))</f>
        <v/>
      </c>
      <c r="D246" s="40">
        <f>IF($A246="","",IFERROR(IF(INDEX('Lançamento'!$B$6:$M$35,MATCH($A246,'Lançamento'!$A$6:$A$35,0),$B246)="","",INDEX('Lançamento'!$B$6:$M$35,MATCH($A246,'Lançamento'!$A$6:$A$35,0),$B246)),""))</f>
        <v/>
      </c>
      <c r="E246" s="12" t="n"/>
      <c r="F246" s="15">
        <f>IF($A246="","",IF(OR($D246="",$E246=""),"Digitar valor do print",IF(ABS($D246-$E246)&lt;=0.001,"✔ Confere","⚠ Divergente")))</f>
        <v/>
      </c>
      <c r="G246" s="39" t="n"/>
      <c r="H246" s="39" t="n"/>
      <c r="I246" s="41" t="n"/>
      <c r="J246" s="39" t="n"/>
    </row>
    <row r="247">
      <c r="A247" s="38" t="n"/>
      <c r="B247" s="39" t="n"/>
      <c r="C247" s="15">
        <f>IF($A247="","",CHOOSE($B247,"JAN","FEV","MAR","ABR","MAI","JUN","JUL","AGO","SET","OUT","NOV","DEZ"))</f>
        <v/>
      </c>
      <c r="D247" s="40">
        <f>IF($A247="","",IFERROR(IF(INDEX('Lançamento'!$B$6:$M$35,MATCH($A247,'Lançamento'!$A$6:$A$35,0),$B247)="","",INDEX('Lançamento'!$B$6:$M$35,MATCH($A247,'Lançamento'!$A$6:$A$35,0),$B247)),""))</f>
        <v/>
      </c>
      <c r="E247" s="12" t="n"/>
      <c r="F247" s="15">
        <f>IF($A247="","",IF(OR($D247="",$E247=""),"Digitar valor do print",IF(ABS($D247-$E247)&lt;=0.001,"✔ Confere","⚠ Divergente")))</f>
        <v/>
      </c>
      <c r="G247" s="39" t="n"/>
      <c r="H247" s="39" t="n"/>
      <c r="I247" s="41" t="n"/>
      <c r="J247" s="39" t="n"/>
    </row>
    <row r="248">
      <c r="A248" s="38" t="n"/>
      <c r="B248" s="39" t="n"/>
      <c r="C248" s="15">
        <f>IF($A248="","",CHOOSE($B248,"JAN","FEV","MAR","ABR","MAI","JUN","JUL","AGO","SET","OUT","NOV","DEZ"))</f>
        <v/>
      </c>
      <c r="D248" s="40">
        <f>IF($A248="","",IFERROR(IF(INDEX('Lançamento'!$B$6:$M$35,MATCH($A248,'Lançamento'!$A$6:$A$35,0),$B248)="","",INDEX('Lançamento'!$B$6:$M$35,MATCH($A248,'Lançamento'!$A$6:$A$35,0),$B248)),""))</f>
        <v/>
      </c>
      <c r="E248" s="12" t="n"/>
      <c r="F248" s="15">
        <f>IF($A248="","",IF(OR($D248="",$E248=""),"Digitar valor do print",IF(ABS($D248-$E248)&lt;=0.001,"✔ Confere","⚠ Divergente")))</f>
        <v/>
      </c>
      <c r="G248" s="39" t="n"/>
      <c r="H248" s="39" t="n"/>
      <c r="I248" s="41" t="n"/>
      <c r="J248" s="39" t="n"/>
    </row>
    <row r="249">
      <c r="A249" s="38" t="n"/>
      <c r="B249" s="39" t="n"/>
      <c r="C249" s="15">
        <f>IF($A249="","",CHOOSE($B249,"JAN","FEV","MAR","ABR","MAI","JUN","JUL","AGO","SET","OUT","NOV","DEZ"))</f>
        <v/>
      </c>
      <c r="D249" s="40">
        <f>IF($A249="","",IFERROR(IF(INDEX('Lançamento'!$B$6:$M$35,MATCH($A249,'Lançamento'!$A$6:$A$35,0),$B249)="","",INDEX('Lançamento'!$B$6:$M$35,MATCH($A249,'Lançamento'!$A$6:$A$35,0),$B249)),""))</f>
        <v/>
      </c>
      <c r="E249" s="12" t="n"/>
      <c r="F249" s="15">
        <f>IF($A249="","",IF(OR($D249="",$E249=""),"Digitar valor do print",IF(ABS($D249-$E249)&lt;=0.001,"✔ Confere","⚠ Divergente")))</f>
        <v/>
      </c>
      <c r="G249" s="39" t="n"/>
      <c r="H249" s="39" t="n"/>
      <c r="I249" s="41" t="n"/>
      <c r="J249" s="39" t="n"/>
    </row>
    <row r="250">
      <c r="A250" s="38" t="n"/>
      <c r="B250" s="39" t="n"/>
      <c r="C250" s="15">
        <f>IF($A250="","",CHOOSE($B250,"JAN","FEV","MAR","ABR","MAI","JUN","JUL","AGO","SET","OUT","NOV","DEZ"))</f>
        <v/>
      </c>
      <c r="D250" s="40">
        <f>IF($A250="","",IFERROR(IF(INDEX('Lançamento'!$B$6:$M$35,MATCH($A250,'Lançamento'!$A$6:$A$35,0),$B250)="","",INDEX('Lançamento'!$B$6:$M$35,MATCH($A250,'Lançamento'!$A$6:$A$35,0),$B250)),""))</f>
        <v/>
      </c>
      <c r="E250" s="12" t="n"/>
      <c r="F250" s="15">
        <f>IF($A250="","",IF(OR($D250="",$E250=""),"Digitar valor do print",IF(ABS($D250-$E250)&lt;=0.001,"✔ Confere","⚠ Divergente")))</f>
        <v/>
      </c>
      <c r="G250" s="39" t="n"/>
      <c r="H250" s="39" t="n"/>
      <c r="I250" s="41" t="n"/>
      <c r="J250" s="39" t="n"/>
    </row>
    <row r="251">
      <c r="A251" s="38" t="n"/>
      <c r="B251" s="39" t="n"/>
      <c r="C251" s="15">
        <f>IF($A251="","",CHOOSE($B251,"JAN","FEV","MAR","ABR","MAI","JUN","JUL","AGO","SET","OUT","NOV","DEZ"))</f>
        <v/>
      </c>
      <c r="D251" s="40">
        <f>IF($A251="","",IFERROR(IF(INDEX('Lançamento'!$B$6:$M$35,MATCH($A251,'Lançamento'!$A$6:$A$35,0),$B251)="","",INDEX('Lançamento'!$B$6:$M$35,MATCH($A251,'Lançamento'!$A$6:$A$35,0),$B251)),""))</f>
        <v/>
      </c>
      <c r="E251" s="12" t="n"/>
      <c r="F251" s="15">
        <f>IF($A251="","",IF(OR($D251="",$E251=""),"Digitar valor do print",IF(ABS($D251-$E251)&lt;=0.001,"✔ Confere","⚠ Divergente")))</f>
        <v/>
      </c>
      <c r="G251" s="39" t="n"/>
      <c r="H251" s="39" t="n"/>
      <c r="I251" s="41" t="n"/>
      <c r="J251" s="39" t="n"/>
    </row>
    <row r="252">
      <c r="A252" s="38" t="n"/>
      <c r="B252" s="39" t="n"/>
      <c r="C252" s="15">
        <f>IF($A252="","",CHOOSE($B252,"JAN","FEV","MAR","ABR","MAI","JUN","JUL","AGO","SET","OUT","NOV","DEZ"))</f>
        <v/>
      </c>
      <c r="D252" s="40">
        <f>IF($A252="","",IFERROR(IF(INDEX('Lançamento'!$B$6:$M$35,MATCH($A252,'Lançamento'!$A$6:$A$35,0),$B252)="","",INDEX('Lançamento'!$B$6:$M$35,MATCH($A252,'Lançamento'!$A$6:$A$35,0),$B252)),""))</f>
        <v/>
      </c>
      <c r="E252" s="12" t="n"/>
      <c r="F252" s="15">
        <f>IF($A252="","",IF(OR($D252="",$E252=""),"Digitar valor do print",IF(ABS($D252-$E252)&lt;=0.001,"✔ Confere","⚠ Divergente")))</f>
        <v/>
      </c>
      <c r="G252" s="39" t="n"/>
      <c r="H252" s="39" t="n"/>
      <c r="I252" s="41" t="n"/>
      <c r="J252" s="39" t="n"/>
    </row>
    <row r="253">
      <c r="A253" s="38" t="n"/>
      <c r="B253" s="39" t="n"/>
      <c r="C253" s="15">
        <f>IF($A253="","",CHOOSE($B253,"JAN","FEV","MAR","ABR","MAI","JUN","JUL","AGO","SET","OUT","NOV","DEZ"))</f>
        <v/>
      </c>
      <c r="D253" s="40">
        <f>IF($A253="","",IFERROR(IF(INDEX('Lançamento'!$B$6:$M$35,MATCH($A253,'Lançamento'!$A$6:$A$35,0),$B253)="","",INDEX('Lançamento'!$B$6:$M$35,MATCH($A253,'Lançamento'!$A$6:$A$35,0),$B253)),""))</f>
        <v/>
      </c>
      <c r="E253" s="12" t="n"/>
      <c r="F253" s="15">
        <f>IF($A253="","",IF(OR($D253="",$E253=""),"Digitar valor do print",IF(ABS($D253-$E253)&lt;=0.001,"✔ Confere","⚠ Divergente")))</f>
        <v/>
      </c>
      <c r="G253" s="39" t="n"/>
      <c r="H253" s="39" t="n"/>
      <c r="I253" s="41" t="n"/>
      <c r="J253" s="39" t="n"/>
    </row>
    <row r="254">
      <c r="A254" s="38" t="n"/>
      <c r="B254" s="39" t="n"/>
      <c r="C254" s="15">
        <f>IF($A254="","",CHOOSE($B254,"JAN","FEV","MAR","ABR","MAI","JUN","JUL","AGO","SET","OUT","NOV","DEZ"))</f>
        <v/>
      </c>
      <c r="D254" s="40">
        <f>IF($A254="","",IFERROR(IF(INDEX('Lançamento'!$B$6:$M$35,MATCH($A254,'Lançamento'!$A$6:$A$35,0),$B254)="","",INDEX('Lançamento'!$B$6:$M$35,MATCH($A254,'Lançamento'!$A$6:$A$35,0),$B254)),""))</f>
        <v/>
      </c>
      <c r="E254" s="12" t="n"/>
      <c r="F254" s="15">
        <f>IF($A254="","",IF(OR($D254="",$E254=""),"Digitar valor do print",IF(ABS($D254-$E254)&lt;=0.001,"✔ Confere","⚠ Divergente")))</f>
        <v/>
      </c>
      <c r="G254" s="39" t="n"/>
      <c r="H254" s="39" t="n"/>
      <c r="I254" s="41" t="n"/>
      <c r="J254" s="39" t="n"/>
    </row>
    <row r="255">
      <c r="A255" s="38" t="n"/>
      <c r="B255" s="39" t="n"/>
      <c r="C255" s="15">
        <f>IF($A255="","",CHOOSE($B255,"JAN","FEV","MAR","ABR","MAI","JUN","JUL","AGO","SET","OUT","NOV","DEZ"))</f>
        <v/>
      </c>
      <c r="D255" s="40">
        <f>IF($A255="","",IFERROR(IF(INDEX('Lançamento'!$B$6:$M$35,MATCH($A255,'Lançamento'!$A$6:$A$35,0),$B255)="","",INDEX('Lançamento'!$B$6:$M$35,MATCH($A255,'Lançamento'!$A$6:$A$35,0),$B255)),""))</f>
        <v/>
      </c>
      <c r="E255" s="12" t="n"/>
      <c r="F255" s="15">
        <f>IF($A255="","",IF(OR($D255="",$E255=""),"Digitar valor do print",IF(ABS($D255-$E255)&lt;=0.001,"✔ Confere","⚠ Divergente")))</f>
        <v/>
      </c>
      <c r="G255" s="39" t="n"/>
      <c r="H255" s="39" t="n"/>
      <c r="I255" s="41" t="n"/>
      <c r="J255" s="39" t="n"/>
    </row>
    <row r="256">
      <c r="A256" s="38" t="n"/>
      <c r="B256" s="39" t="n"/>
      <c r="C256" s="15">
        <f>IF($A256="","",CHOOSE($B256,"JAN","FEV","MAR","ABR","MAI","JUN","JUL","AGO","SET","OUT","NOV","DEZ"))</f>
        <v/>
      </c>
      <c r="D256" s="40">
        <f>IF($A256="","",IFERROR(IF(INDEX('Lançamento'!$B$6:$M$35,MATCH($A256,'Lançamento'!$A$6:$A$35,0),$B256)="","",INDEX('Lançamento'!$B$6:$M$35,MATCH($A256,'Lançamento'!$A$6:$A$35,0),$B256)),""))</f>
        <v/>
      </c>
      <c r="E256" s="12" t="n"/>
      <c r="F256" s="15">
        <f>IF($A256="","",IF(OR($D256="",$E256=""),"Digitar valor do print",IF(ABS($D256-$E256)&lt;=0.001,"✔ Confere","⚠ Divergente")))</f>
        <v/>
      </c>
      <c r="G256" s="39" t="n"/>
      <c r="H256" s="39" t="n"/>
      <c r="I256" s="41" t="n"/>
      <c r="J256" s="39" t="n"/>
    </row>
    <row r="257">
      <c r="A257" s="38" t="n"/>
      <c r="B257" s="39" t="n"/>
      <c r="C257" s="15">
        <f>IF($A257="","",CHOOSE($B257,"JAN","FEV","MAR","ABR","MAI","JUN","JUL","AGO","SET","OUT","NOV","DEZ"))</f>
        <v/>
      </c>
      <c r="D257" s="40">
        <f>IF($A257="","",IFERROR(IF(INDEX('Lançamento'!$B$6:$M$35,MATCH($A257,'Lançamento'!$A$6:$A$35,0),$B257)="","",INDEX('Lançamento'!$B$6:$M$35,MATCH($A257,'Lançamento'!$A$6:$A$35,0),$B257)),""))</f>
        <v/>
      </c>
      <c r="E257" s="12" t="n"/>
      <c r="F257" s="15">
        <f>IF($A257="","",IF(OR($D257="",$E257=""),"Digitar valor do print",IF(ABS($D257-$E257)&lt;=0.001,"✔ Confere","⚠ Divergente")))</f>
        <v/>
      </c>
      <c r="G257" s="39" t="n"/>
      <c r="H257" s="39" t="n"/>
      <c r="I257" s="41" t="n"/>
      <c r="J257" s="39" t="n"/>
    </row>
    <row r="258">
      <c r="A258" s="38" t="n"/>
      <c r="B258" s="39" t="n"/>
      <c r="C258" s="15">
        <f>IF($A258="","",CHOOSE($B258,"JAN","FEV","MAR","ABR","MAI","JUN","JUL","AGO","SET","OUT","NOV","DEZ"))</f>
        <v/>
      </c>
      <c r="D258" s="40">
        <f>IF($A258="","",IFERROR(IF(INDEX('Lançamento'!$B$6:$M$35,MATCH($A258,'Lançamento'!$A$6:$A$35,0),$B258)="","",INDEX('Lançamento'!$B$6:$M$35,MATCH($A258,'Lançamento'!$A$6:$A$35,0),$B258)),""))</f>
        <v/>
      </c>
      <c r="E258" s="12" t="n"/>
      <c r="F258" s="15">
        <f>IF($A258="","",IF(OR($D258="",$E258=""),"Digitar valor do print",IF(ABS($D258-$E258)&lt;=0.001,"✔ Confere","⚠ Divergente")))</f>
        <v/>
      </c>
      <c r="G258" s="39" t="n"/>
      <c r="H258" s="39" t="n"/>
      <c r="I258" s="41" t="n"/>
      <c r="J258" s="39" t="n"/>
    </row>
    <row r="259">
      <c r="A259" s="38" t="n"/>
      <c r="B259" s="39" t="n"/>
      <c r="C259" s="15">
        <f>IF($A259="","",CHOOSE($B259,"JAN","FEV","MAR","ABR","MAI","JUN","JUL","AGO","SET","OUT","NOV","DEZ"))</f>
        <v/>
      </c>
      <c r="D259" s="40">
        <f>IF($A259="","",IFERROR(IF(INDEX('Lançamento'!$B$6:$M$35,MATCH($A259,'Lançamento'!$A$6:$A$35,0),$B259)="","",INDEX('Lançamento'!$B$6:$M$35,MATCH($A259,'Lançamento'!$A$6:$A$35,0),$B259)),""))</f>
        <v/>
      </c>
      <c r="E259" s="12" t="n"/>
      <c r="F259" s="15">
        <f>IF($A259="","",IF(OR($D259="",$E259=""),"Digitar valor do print",IF(ABS($D259-$E259)&lt;=0.001,"✔ Confere","⚠ Divergente")))</f>
        <v/>
      </c>
      <c r="G259" s="39" t="n"/>
      <c r="H259" s="39" t="n"/>
      <c r="I259" s="41" t="n"/>
      <c r="J259" s="39" t="n"/>
    </row>
    <row r="260">
      <c r="A260" s="38" t="n"/>
      <c r="B260" s="39" t="n"/>
      <c r="C260" s="15">
        <f>IF($A260="","",CHOOSE($B260,"JAN","FEV","MAR","ABR","MAI","JUN","JUL","AGO","SET","OUT","NOV","DEZ"))</f>
        <v/>
      </c>
      <c r="D260" s="40">
        <f>IF($A260="","",IFERROR(IF(INDEX('Lançamento'!$B$6:$M$35,MATCH($A260,'Lançamento'!$A$6:$A$35,0),$B260)="","",INDEX('Lançamento'!$B$6:$M$35,MATCH($A260,'Lançamento'!$A$6:$A$35,0),$B260)),""))</f>
        <v/>
      </c>
      <c r="E260" s="12" t="n"/>
      <c r="F260" s="15">
        <f>IF($A260="","",IF(OR($D260="",$E260=""),"Digitar valor do print",IF(ABS($D260-$E260)&lt;=0.001,"✔ Confere","⚠ Divergente")))</f>
        <v/>
      </c>
      <c r="G260" s="39" t="n"/>
      <c r="H260" s="39" t="n"/>
      <c r="I260" s="41" t="n"/>
      <c r="J260" s="39" t="n"/>
    </row>
    <row r="261">
      <c r="A261" s="38" t="n"/>
      <c r="B261" s="39" t="n"/>
      <c r="C261" s="15">
        <f>IF($A261="","",CHOOSE($B261,"JAN","FEV","MAR","ABR","MAI","JUN","JUL","AGO","SET","OUT","NOV","DEZ"))</f>
        <v/>
      </c>
      <c r="D261" s="40">
        <f>IF($A261="","",IFERROR(IF(INDEX('Lançamento'!$B$6:$M$35,MATCH($A261,'Lançamento'!$A$6:$A$35,0),$B261)="","",INDEX('Lançamento'!$B$6:$M$35,MATCH($A261,'Lançamento'!$A$6:$A$35,0),$B261)),""))</f>
        <v/>
      </c>
      <c r="E261" s="12" t="n"/>
      <c r="F261" s="15">
        <f>IF($A261="","",IF(OR($D261="",$E261=""),"Digitar valor do print",IF(ABS($D261-$E261)&lt;=0.001,"✔ Confere","⚠ Divergente")))</f>
        <v/>
      </c>
      <c r="G261" s="39" t="n"/>
      <c r="H261" s="39" t="n"/>
      <c r="I261" s="41" t="n"/>
      <c r="J261" s="39" t="n"/>
    </row>
    <row r="262">
      <c r="A262" s="38" t="n"/>
      <c r="B262" s="39" t="n"/>
      <c r="C262" s="15">
        <f>IF($A262="","",CHOOSE($B262,"JAN","FEV","MAR","ABR","MAI","JUN","JUL","AGO","SET","OUT","NOV","DEZ"))</f>
        <v/>
      </c>
      <c r="D262" s="40">
        <f>IF($A262="","",IFERROR(IF(INDEX('Lançamento'!$B$6:$M$35,MATCH($A262,'Lançamento'!$A$6:$A$35,0),$B262)="","",INDEX('Lançamento'!$B$6:$M$35,MATCH($A262,'Lançamento'!$A$6:$A$35,0),$B262)),""))</f>
        <v/>
      </c>
      <c r="E262" s="12" t="n"/>
      <c r="F262" s="15">
        <f>IF($A262="","",IF(OR($D262="",$E262=""),"Digitar valor do print",IF(ABS($D262-$E262)&lt;=0.001,"✔ Confere","⚠ Divergente")))</f>
        <v/>
      </c>
      <c r="G262" s="39" t="n"/>
      <c r="H262" s="39" t="n"/>
      <c r="I262" s="41" t="n"/>
      <c r="J262" s="39" t="n"/>
    </row>
    <row r="263">
      <c r="A263" s="38" t="n"/>
      <c r="B263" s="39" t="n"/>
      <c r="C263" s="15">
        <f>IF($A263="","",CHOOSE($B263,"JAN","FEV","MAR","ABR","MAI","JUN","JUL","AGO","SET","OUT","NOV","DEZ"))</f>
        <v/>
      </c>
      <c r="D263" s="40">
        <f>IF($A263="","",IFERROR(IF(INDEX('Lançamento'!$B$6:$M$35,MATCH($A263,'Lançamento'!$A$6:$A$35,0),$B263)="","",INDEX('Lançamento'!$B$6:$M$35,MATCH($A263,'Lançamento'!$A$6:$A$35,0),$B263)),""))</f>
        <v/>
      </c>
      <c r="E263" s="12" t="n"/>
      <c r="F263" s="15">
        <f>IF($A263="","",IF(OR($D263="",$E263=""),"Digitar valor do print",IF(ABS($D263-$E263)&lt;=0.001,"✔ Confere","⚠ Divergente")))</f>
        <v/>
      </c>
      <c r="G263" s="39" t="n"/>
      <c r="H263" s="39" t="n"/>
      <c r="I263" s="41" t="n"/>
      <c r="J263" s="39" t="n"/>
    </row>
    <row r="264">
      <c r="A264" s="38" t="n"/>
      <c r="B264" s="39" t="n"/>
      <c r="C264" s="15">
        <f>IF($A264="","",CHOOSE($B264,"JAN","FEV","MAR","ABR","MAI","JUN","JUL","AGO","SET","OUT","NOV","DEZ"))</f>
        <v/>
      </c>
      <c r="D264" s="40">
        <f>IF($A264="","",IFERROR(IF(INDEX('Lançamento'!$B$6:$M$35,MATCH($A264,'Lançamento'!$A$6:$A$35,0),$B264)="","",INDEX('Lançamento'!$B$6:$M$35,MATCH($A264,'Lançamento'!$A$6:$A$35,0),$B264)),""))</f>
        <v/>
      </c>
      <c r="E264" s="12" t="n"/>
      <c r="F264" s="15">
        <f>IF($A264="","",IF(OR($D264="",$E264=""),"Digitar valor do print",IF(ABS($D264-$E264)&lt;=0.001,"✔ Confere","⚠ Divergente")))</f>
        <v/>
      </c>
      <c r="G264" s="39" t="n"/>
      <c r="H264" s="39" t="n"/>
      <c r="I264" s="41" t="n"/>
      <c r="J264" s="39" t="n"/>
    </row>
    <row r="265">
      <c r="A265" s="38" t="n"/>
      <c r="B265" s="39" t="n"/>
      <c r="C265" s="15">
        <f>IF($A265="","",CHOOSE($B265,"JAN","FEV","MAR","ABR","MAI","JUN","JUL","AGO","SET","OUT","NOV","DEZ"))</f>
        <v/>
      </c>
      <c r="D265" s="40">
        <f>IF($A265="","",IFERROR(IF(INDEX('Lançamento'!$B$6:$M$35,MATCH($A265,'Lançamento'!$A$6:$A$35,0),$B265)="","",INDEX('Lançamento'!$B$6:$M$35,MATCH($A265,'Lançamento'!$A$6:$A$35,0),$B265)),""))</f>
        <v/>
      </c>
      <c r="E265" s="12" t="n"/>
      <c r="F265" s="15">
        <f>IF($A265="","",IF(OR($D265="",$E265=""),"Digitar valor do print",IF(ABS($D265-$E265)&lt;=0.001,"✔ Confere","⚠ Divergente")))</f>
        <v/>
      </c>
      <c r="G265" s="39" t="n"/>
      <c r="H265" s="39" t="n"/>
      <c r="I265" s="41" t="n"/>
      <c r="J265" s="39" t="n"/>
    </row>
    <row r="266">
      <c r="A266" s="38" t="n"/>
      <c r="B266" s="39" t="n"/>
      <c r="C266" s="15">
        <f>IF($A266="","",CHOOSE($B266,"JAN","FEV","MAR","ABR","MAI","JUN","JUL","AGO","SET","OUT","NOV","DEZ"))</f>
        <v/>
      </c>
      <c r="D266" s="40">
        <f>IF($A266="","",IFERROR(IF(INDEX('Lançamento'!$B$6:$M$35,MATCH($A266,'Lançamento'!$A$6:$A$35,0),$B266)="","",INDEX('Lançamento'!$B$6:$M$35,MATCH($A266,'Lançamento'!$A$6:$A$35,0),$B266)),""))</f>
        <v/>
      </c>
      <c r="E266" s="12" t="n"/>
      <c r="F266" s="15">
        <f>IF($A266="","",IF(OR($D266="",$E266=""),"Digitar valor do print",IF(ABS($D266-$E266)&lt;=0.001,"✔ Confere","⚠ Divergente")))</f>
        <v/>
      </c>
      <c r="G266" s="39" t="n"/>
      <c r="H266" s="39" t="n"/>
      <c r="I266" s="41" t="n"/>
      <c r="J266" s="39" t="n"/>
    </row>
    <row r="267">
      <c r="A267" s="38" t="n"/>
      <c r="B267" s="39" t="n"/>
      <c r="C267" s="15">
        <f>IF($A267="","",CHOOSE($B267,"JAN","FEV","MAR","ABR","MAI","JUN","JUL","AGO","SET","OUT","NOV","DEZ"))</f>
        <v/>
      </c>
      <c r="D267" s="40">
        <f>IF($A267="","",IFERROR(IF(INDEX('Lançamento'!$B$6:$M$35,MATCH($A267,'Lançamento'!$A$6:$A$35,0),$B267)="","",INDEX('Lançamento'!$B$6:$M$35,MATCH($A267,'Lançamento'!$A$6:$A$35,0),$B267)),""))</f>
        <v/>
      </c>
      <c r="E267" s="12" t="n"/>
      <c r="F267" s="15">
        <f>IF($A267="","",IF(OR($D267="",$E267=""),"Digitar valor do print",IF(ABS($D267-$E267)&lt;=0.001,"✔ Confere","⚠ Divergente")))</f>
        <v/>
      </c>
      <c r="G267" s="39" t="n"/>
      <c r="H267" s="39" t="n"/>
      <c r="I267" s="41" t="n"/>
      <c r="J267" s="39" t="n"/>
    </row>
    <row r="268">
      <c r="A268" s="38" t="n"/>
      <c r="B268" s="39" t="n"/>
      <c r="C268" s="15">
        <f>IF($A268="","",CHOOSE($B268,"JAN","FEV","MAR","ABR","MAI","JUN","JUL","AGO","SET","OUT","NOV","DEZ"))</f>
        <v/>
      </c>
      <c r="D268" s="40">
        <f>IF($A268="","",IFERROR(IF(INDEX('Lançamento'!$B$6:$M$35,MATCH($A268,'Lançamento'!$A$6:$A$35,0),$B268)="","",INDEX('Lançamento'!$B$6:$M$35,MATCH($A268,'Lançamento'!$A$6:$A$35,0),$B268)),""))</f>
        <v/>
      </c>
      <c r="E268" s="12" t="n"/>
      <c r="F268" s="15">
        <f>IF($A268="","",IF(OR($D268="",$E268=""),"Digitar valor do print",IF(ABS($D268-$E268)&lt;=0.001,"✔ Confere","⚠ Divergente")))</f>
        <v/>
      </c>
      <c r="G268" s="39" t="n"/>
      <c r="H268" s="39" t="n"/>
      <c r="I268" s="41" t="n"/>
      <c r="J268" s="39" t="n"/>
    </row>
    <row r="269">
      <c r="A269" s="38" t="n"/>
      <c r="B269" s="39" t="n"/>
      <c r="C269" s="15">
        <f>IF($A269="","",CHOOSE($B269,"JAN","FEV","MAR","ABR","MAI","JUN","JUL","AGO","SET","OUT","NOV","DEZ"))</f>
        <v/>
      </c>
      <c r="D269" s="40">
        <f>IF($A269="","",IFERROR(IF(INDEX('Lançamento'!$B$6:$M$35,MATCH($A269,'Lançamento'!$A$6:$A$35,0),$B269)="","",INDEX('Lançamento'!$B$6:$M$35,MATCH($A269,'Lançamento'!$A$6:$A$35,0),$B269)),""))</f>
        <v/>
      </c>
      <c r="E269" s="12" t="n"/>
      <c r="F269" s="15">
        <f>IF($A269="","",IF(OR($D269="",$E269=""),"Digitar valor do print",IF(ABS($D269-$E269)&lt;=0.001,"✔ Confere","⚠ Divergente")))</f>
        <v/>
      </c>
      <c r="G269" s="39" t="n"/>
      <c r="H269" s="39" t="n"/>
      <c r="I269" s="41" t="n"/>
      <c r="J269" s="39" t="n"/>
    </row>
    <row r="270">
      <c r="A270" s="38" t="n"/>
      <c r="B270" s="39" t="n"/>
      <c r="C270" s="15">
        <f>IF($A270="","",CHOOSE($B270,"JAN","FEV","MAR","ABR","MAI","JUN","JUL","AGO","SET","OUT","NOV","DEZ"))</f>
        <v/>
      </c>
      <c r="D270" s="40">
        <f>IF($A270="","",IFERROR(IF(INDEX('Lançamento'!$B$6:$M$35,MATCH($A270,'Lançamento'!$A$6:$A$35,0),$B270)="","",INDEX('Lançamento'!$B$6:$M$35,MATCH($A270,'Lançamento'!$A$6:$A$35,0),$B270)),""))</f>
        <v/>
      </c>
      <c r="E270" s="12" t="n"/>
      <c r="F270" s="15">
        <f>IF($A270="","",IF(OR($D270="",$E270=""),"Digitar valor do print",IF(ABS($D270-$E270)&lt;=0.001,"✔ Confere","⚠ Divergente")))</f>
        <v/>
      </c>
      <c r="G270" s="39" t="n"/>
      <c r="H270" s="39" t="n"/>
      <c r="I270" s="41" t="n"/>
      <c r="J270" s="39" t="n"/>
    </row>
    <row r="271">
      <c r="A271" s="38" t="n"/>
      <c r="B271" s="39" t="n"/>
      <c r="C271" s="15">
        <f>IF($A271="","",CHOOSE($B271,"JAN","FEV","MAR","ABR","MAI","JUN","JUL","AGO","SET","OUT","NOV","DEZ"))</f>
        <v/>
      </c>
      <c r="D271" s="40">
        <f>IF($A271="","",IFERROR(IF(INDEX('Lançamento'!$B$6:$M$35,MATCH($A271,'Lançamento'!$A$6:$A$35,0),$B271)="","",INDEX('Lançamento'!$B$6:$M$35,MATCH($A271,'Lançamento'!$A$6:$A$35,0),$B271)),""))</f>
        <v/>
      </c>
      <c r="E271" s="12" t="n"/>
      <c r="F271" s="15">
        <f>IF($A271="","",IF(OR($D271="",$E271=""),"Digitar valor do print",IF(ABS($D271-$E271)&lt;=0.001,"✔ Confere","⚠ Divergente")))</f>
        <v/>
      </c>
      <c r="G271" s="39" t="n"/>
      <c r="H271" s="39" t="n"/>
      <c r="I271" s="41" t="n"/>
      <c r="J271" s="39" t="n"/>
    </row>
    <row r="272">
      <c r="A272" s="38" t="n"/>
      <c r="B272" s="39" t="n"/>
      <c r="C272" s="15">
        <f>IF($A272="","",CHOOSE($B272,"JAN","FEV","MAR","ABR","MAI","JUN","JUL","AGO","SET","OUT","NOV","DEZ"))</f>
        <v/>
      </c>
      <c r="D272" s="40">
        <f>IF($A272="","",IFERROR(IF(INDEX('Lançamento'!$B$6:$M$35,MATCH($A272,'Lançamento'!$A$6:$A$35,0),$B272)="","",INDEX('Lançamento'!$B$6:$M$35,MATCH($A272,'Lançamento'!$A$6:$A$35,0),$B272)),""))</f>
        <v/>
      </c>
      <c r="E272" s="12" t="n"/>
      <c r="F272" s="15">
        <f>IF($A272="","",IF(OR($D272="",$E272=""),"Digitar valor do print",IF(ABS($D272-$E272)&lt;=0.001,"✔ Confere","⚠ Divergente")))</f>
        <v/>
      </c>
      <c r="G272" s="39" t="n"/>
      <c r="H272" s="39" t="n"/>
      <c r="I272" s="41" t="n"/>
      <c r="J272" s="39" t="n"/>
    </row>
    <row r="273">
      <c r="A273" s="38" t="n"/>
      <c r="B273" s="39" t="n"/>
      <c r="C273" s="15">
        <f>IF($A273="","",CHOOSE($B273,"JAN","FEV","MAR","ABR","MAI","JUN","JUL","AGO","SET","OUT","NOV","DEZ"))</f>
        <v/>
      </c>
      <c r="D273" s="40">
        <f>IF($A273="","",IFERROR(IF(INDEX('Lançamento'!$B$6:$M$35,MATCH($A273,'Lançamento'!$A$6:$A$35,0),$B273)="","",INDEX('Lançamento'!$B$6:$M$35,MATCH($A273,'Lançamento'!$A$6:$A$35,0),$B273)),""))</f>
        <v/>
      </c>
      <c r="E273" s="12" t="n"/>
      <c r="F273" s="15">
        <f>IF($A273="","",IF(OR($D273="",$E273=""),"Digitar valor do print",IF(ABS($D273-$E273)&lt;=0.001,"✔ Confere","⚠ Divergente")))</f>
        <v/>
      </c>
      <c r="G273" s="39" t="n"/>
      <c r="H273" s="39" t="n"/>
      <c r="I273" s="41" t="n"/>
      <c r="J273" s="39" t="n"/>
    </row>
    <row r="274">
      <c r="A274" s="38" t="n"/>
      <c r="B274" s="39" t="n"/>
      <c r="C274" s="15">
        <f>IF($A274="","",CHOOSE($B274,"JAN","FEV","MAR","ABR","MAI","JUN","JUL","AGO","SET","OUT","NOV","DEZ"))</f>
        <v/>
      </c>
      <c r="D274" s="40">
        <f>IF($A274="","",IFERROR(IF(INDEX('Lançamento'!$B$6:$M$35,MATCH($A274,'Lançamento'!$A$6:$A$35,0),$B274)="","",INDEX('Lançamento'!$B$6:$M$35,MATCH($A274,'Lançamento'!$A$6:$A$35,0),$B274)),""))</f>
        <v/>
      </c>
      <c r="E274" s="12" t="n"/>
      <c r="F274" s="15">
        <f>IF($A274="","",IF(OR($D274="",$E274=""),"Digitar valor do print",IF(ABS($D274-$E274)&lt;=0.001,"✔ Confere","⚠ Divergente")))</f>
        <v/>
      </c>
      <c r="G274" s="39" t="n"/>
      <c r="H274" s="39" t="n"/>
      <c r="I274" s="41" t="n"/>
      <c r="J274" s="39" t="n"/>
    </row>
    <row r="275">
      <c r="A275" s="38" t="n"/>
      <c r="B275" s="39" t="n"/>
      <c r="C275" s="15">
        <f>IF($A275="","",CHOOSE($B275,"JAN","FEV","MAR","ABR","MAI","JUN","JUL","AGO","SET","OUT","NOV","DEZ"))</f>
        <v/>
      </c>
      <c r="D275" s="40">
        <f>IF($A275="","",IFERROR(IF(INDEX('Lançamento'!$B$6:$M$35,MATCH($A275,'Lançamento'!$A$6:$A$35,0),$B275)="","",INDEX('Lançamento'!$B$6:$M$35,MATCH($A275,'Lançamento'!$A$6:$A$35,0),$B275)),""))</f>
        <v/>
      </c>
      <c r="E275" s="12" t="n"/>
      <c r="F275" s="15">
        <f>IF($A275="","",IF(OR($D275="",$E275=""),"Digitar valor do print",IF(ABS($D275-$E275)&lt;=0.001,"✔ Confere","⚠ Divergente")))</f>
        <v/>
      </c>
      <c r="G275" s="39" t="n"/>
      <c r="H275" s="39" t="n"/>
      <c r="I275" s="41" t="n"/>
      <c r="J275" s="39" t="n"/>
    </row>
    <row r="276">
      <c r="A276" s="38" t="n"/>
      <c r="B276" s="39" t="n"/>
      <c r="C276" s="15">
        <f>IF($A276="","",CHOOSE($B276,"JAN","FEV","MAR","ABR","MAI","JUN","JUL","AGO","SET","OUT","NOV","DEZ"))</f>
        <v/>
      </c>
      <c r="D276" s="40">
        <f>IF($A276="","",IFERROR(IF(INDEX('Lançamento'!$B$6:$M$35,MATCH($A276,'Lançamento'!$A$6:$A$35,0),$B276)="","",INDEX('Lançamento'!$B$6:$M$35,MATCH($A276,'Lançamento'!$A$6:$A$35,0),$B276)),""))</f>
        <v/>
      </c>
      <c r="E276" s="12" t="n"/>
      <c r="F276" s="15">
        <f>IF($A276="","",IF(OR($D276="",$E276=""),"Digitar valor do print",IF(ABS($D276-$E276)&lt;=0.001,"✔ Confere","⚠ Divergente")))</f>
        <v/>
      </c>
      <c r="G276" s="39" t="n"/>
      <c r="H276" s="39" t="n"/>
      <c r="I276" s="41" t="n"/>
      <c r="J276" s="39" t="n"/>
    </row>
    <row r="277">
      <c r="A277" s="38" t="n"/>
      <c r="B277" s="39" t="n"/>
      <c r="C277" s="15">
        <f>IF($A277="","",CHOOSE($B277,"JAN","FEV","MAR","ABR","MAI","JUN","JUL","AGO","SET","OUT","NOV","DEZ"))</f>
        <v/>
      </c>
      <c r="D277" s="40">
        <f>IF($A277="","",IFERROR(IF(INDEX('Lançamento'!$B$6:$M$35,MATCH($A277,'Lançamento'!$A$6:$A$35,0),$B277)="","",INDEX('Lançamento'!$B$6:$M$35,MATCH($A277,'Lançamento'!$A$6:$A$35,0),$B277)),""))</f>
        <v/>
      </c>
      <c r="E277" s="12" t="n"/>
      <c r="F277" s="15">
        <f>IF($A277="","",IF(OR($D277="",$E277=""),"Digitar valor do print",IF(ABS($D277-$E277)&lt;=0.001,"✔ Confere","⚠ Divergente")))</f>
        <v/>
      </c>
      <c r="G277" s="39" t="n"/>
      <c r="H277" s="39" t="n"/>
      <c r="I277" s="41" t="n"/>
      <c r="J277" s="39" t="n"/>
    </row>
    <row r="278">
      <c r="A278" s="38" t="n"/>
      <c r="B278" s="39" t="n"/>
      <c r="C278" s="15">
        <f>IF($A278="","",CHOOSE($B278,"JAN","FEV","MAR","ABR","MAI","JUN","JUL","AGO","SET","OUT","NOV","DEZ"))</f>
        <v/>
      </c>
      <c r="D278" s="40">
        <f>IF($A278="","",IFERROR(IF(INDEX('Lançamento'!$B$6:$M$35,MATCH($A278,'Lançamento'!$A$6:$A$35,0),$B278)="","",INDEX('Lançamento'!$B$6:$M$35,MATCH($A278,'Lançamento'!$A$6:$A$35,0),$B278)),""))</f>
        <v/>
      </c>
      <c r="E278" s="12" t="n"/>
      <c r="F278" s="15">
        <f>IF($A278="","",IF(OR($D278="",$E278=""),"Digitar valor do print",IF(ABS($D278-$E278)&lt;=0.001,"✔ Confere","⚠ Divergente")))</f>
        <v/>
      </c>
      <c r="G278" s="39" t="n"/>
      <c r="H278" s="39" t="n"/>
      <c r="I278" s="41" t="n"/>
      <c r="J278" s="39" t="n"/>
    </row>
    <row r="279">
      <c r="A279" s="38" t="n"/>
      <c r="B279" s="39" t="n"/>
      <c r="C279" s="15">
        <f>IF($A279="","",CHOOSE($B279,"JAN","FEV","MAR","ABR","MAI","JUN","JUL","AGO","SET","OUT","NOV","DEZ"))</f>
        <v/>
      </c>
      <c r="D279" s="40">
        <f>IF($A279="","",IFERROR(IF(INDEX('Lançamento'!$B$6:$M$35,MATCH($A279,'Lançamento'!$A$6:$A$35,0),$B279)="","",INDEX('Lançamento'!$B$6:$M$35,MATCH($A279,'Lançamento'!$A$6:$A$35,0),$B279)),""))</f>
        <v/>
      </c>
      <c r="E279" s="12" t="n"/>
      <c r="F279" s="15">
        <f>IF($A279="","",IF(OR($D279="",$E279=""),"Digitar valor do print",IF(ABS($D279-$E279)&lt;=0.001,"✔ Confere","⚠ Divergente")))</f>
        <v/>
      </c>
      <c r="G279" s="39" t="n"/>
      <c r="H279" s="39" t="n"/>
      <c r="I279" s="41" t="n"/>
      <c r="J279" s="39" t="n"/>
    </row>
    <row r="280">
      <c r="A280" s="38" t="n"/>
      <c r="B280" s="39" t="n"/>
      <c r="C280" s="15">
        <f>IF($A280="","",CHOOSE($B280,"JAN","FEV","MAR","ABR","MAI","JUN","JUL","AGO","SET","OUT","NOV","DEZ"))</f>
        <v/>
      </c>
      <c r="D280" s="40">
        <f>IF($A280="","",IFERROR(IF(INDEX('Lançamento'!$B$6:$M$35,MATCH($A280,'Lançamento'!$A$6:$A$35,0),$B280)="","",INDEX('Lançamento'!$B$6:$M$35,MATCH($A280,'Lançamento'!$A$6:$A$35,0),$B280)),""))</f>
        <v/>
      </c>
      <c r="E280" s="12" t="n"/>
      <c r="F280" s="15">
        <f>IF($A280="","",IF(OR($D280="",$E280=""),"Digitar valor do print",IF(ABS($D280-$E280)&lt;=0.001,"✔ Confere","⚠ Divergente")))</f>
        <v/>
      </c>
      <c r="G280" s="39" t="n"/>
      <c r="H280" s="39" t="n"/>
      <c r="I280" s="41" t="n"/>
      <c r="J280" s="39" t="n"/>
    </row>
    <row r="281">
      <c r="A281" s="38" t="n"/>
      <c r="B281" s="39" t="n"/>
      <c r="C281" s="15">
        <f>IF($A281="","",CHOOSE($B281,"JAN","FEV","MAR","ABR","MAI","JUN","JUL","AGO","SET","OUT","NOV","DEZ"))</f>
        <v/>
      </c>
      <c r="D281" s="40">
        <f>IF($A281="","",IFERROR(IF(INDEX('Lançamento'!$B$6:$M$35,MATCH($A281,'Lançamento'!$A$6:$A$35,0),$B281)="","",INDEX('Lançamento'!$B$6:$M$35,MATCH($A281,'Lançamento'!$A$6:$A$35,0),$B281)),""))</f>
        <v/>
      </c>
      <c r="E281" s="12" t="n"/>
      <c r="F281" s="15">
        <f>IF($A281="","",IF(OR($D281="",$E281=""),"Digitar valor do print",IF(ABS($D281-$E281)&lt;=0.001,"✔ Confere","⚠ Divergente")))</f>
        <v/>
      </c>
      <c r="G281" s="39" t="n"/>
      <c r="H281" s="39" t="n"/>
      <c r="I281" s="41" t="n"/>
      <c r="J281" s="39" t="n"/>
    </row>
    <row r="282">
      <c r="A282" s="38" t="n"/>
      <c r="B282" s="39" t="n"/>
      <c r="C282" s="15">
        <f>IF($A282="","",CHOOSE($B282,"JAN","FEV","MAR","ABR","MAI","JUN","JUL","AGO","SET","OUT","NOV","DEZ"))</f>
        <v/>
      </c>
      <c r="D282" s="40">
        <f>IF($A282="","",IFERROR(IF(INDEX('Lançamento'!$B$6:$M$35,MATCH($A282,'Lançamento'!$A$6:$A$35,0),$B282)="","",INDEX('Lançamento'!$B$6:$M$35,MATCH($A282,'Lançamento'!$A$6:$A$35,0),$B282)),""))</f>
        <v/>
      </c>
      <c r="E282" s="12" t="n"/>
      <c r="F282" s="15">
        <f>IF($A282="","",IF(OR($D282="",$E282=""),"Digitar valor do print",IF(ABS($D282-$E282)&lt;=0.001,"✔ Confere","⚠ Divergente")))</f>
        <v/>
      </c>
      <c r="G282" s="39" t="n"/>
      <c r="H282" s="39" t="n"/>
      <c r="I282" s="41" t="n"/>
      <c r="J282" s="39" t="n"/>
    </row>
    <row r="283">
      <c r="A283" s="38" t="n"/>
      <c r="B283" s="39" t="n"/>
      <c r="C283" s="15">
        <f>IF($A283="","",CHOOSE($B283,"JAN","FEV","MAR","ABR","MAI","JUN","JUL","AGO","SET","OUT","NOV","DEZ"))</f>
        <v/>
      </c>
      <c r="D283" s="40">
        <f>IF($A283="","",IFERROR(IF(INDEX('Lançamento'!$B$6:$M$35,MATCH($A283,'Lançamento'!$A$6:$A$35,0),$B283)="","",INDEX('Lançamento'!$B$6:$M$35,MATCH($A283,'Lançamento'!$A$6:$A$35,0),$B283)),""))</f>
        <v/>
      </c>
      <c r="E283" s="12" t="n"/>
      <c r="F283" s="15">
        <f>IF($A283="","",IF(OR($D283="",$E283=""),"Digitar valor do print",IF(ABS($D283-$E283)&lt;=0.001,"✔ Confere","⚠ Divergente")))</f>
        <v/>
      </c>
      <c r="G283" s="39" t="n"/>
      <c r="H283" s="39" t="n"/>
      <c r="I283" s="41" t="n"/>
      <c r="J283" s="39" t="n"/>
    </row>
    <row r="284">
      <c r="A284" s="38" t="n"/>
      <c r="B284" s="39" t="n"/>
      <c r="C284" s="15">
        <f>IF($A284="","",CHOOSE($B284,"JAN","FEV","MAR","ABR","MAI","JUN","JUL","AGO","SET","OUT","NOV","DEZ"))</f>
        <v/>
      </c>
      <c r="D284" s="40">
        <f>IF($A284="","",IFERROR(IF(INDEX('Lançamento'!$B$6:$M$35,MATCH($A284,'Lançamento'!$A$6:$A$35,0),$B284)="","",INDEX('Lançamento'!$B$6:$M$35,MATCH($A284,'Lançamento'!$A$6:$A$35,0),$B284)),""))</f>
        <v/>
      </c>
      <c r="E284" s="12" t="n"/>
      <c r="F284" s="15">
        <f>IF($A284="","",IF(OR($D284="",$E284=""),"Digitar valor do print",IF(ABS($D284-$E284)&lt;=0.001,"✔ Confere","⚠ Divergente")))</f>
        <v/>
      </c>
      <c r="G284" s="39" t="n"/>
      <c r="H284" s="39" t="n"/>
      <c r="I284" s="41" t="n"/>
      <c r="J284" s="39" t="n"/>
    </row>
    <row r="285">
      <c r="A285" s="38" t="n"/>
      <c r="B285" s="39" t="n"/>
      <c r="C285" s="15">
        <f>IF($A285="","",CHOOSE($B285,"JAN","FEV","MAR","ABR","MAI","JUN","JUL","AGO","SET","OUT","NOV","DEZ"))</f>
        <v/>
      </c>
      <c r="D285" s="40">
        <f>IF($A285="","",IFERROR(IF(INDEX('Lançamento'!$B$6:$M$35,MATCH($A285,'Lançamento'!$A$6:$A$35,0),$B285)="","",INDEX('Lançamento'!$B$6:$M$35,MATCH($A285,'Lançamento'!$A$6:$A$35,0),$B285)),""))</f>
        <v/>
      </c>
      <c r="E285" s="12" t="n"/>
      <c r="F285" s="15">
        <f>IF($A285="","",IF(OR($D285="",$E285=""),"Digitar valor do print",IF(ABS($D285-$E285)&lt;=0.001,"✔ Confere","⚠ Divergente")))</f>
        <v/>
      </c>
      <c r="G285" s="39" t="n"/>
      <c r="H285" s="39" t="n"/>
      <c r="I285" s="41" t="n"/>
      <c r="J285" s="39" t="n"/>
    </row>
    <row r="286">
      <c r="A286" s="38" t="n"/>
      <c r="B286" s="39" t="n"/>
      <c r="C286" s="15">
        <f>IF($A286="","",CHOOSE($B286,"JAN","FEV","MAR","ABR","MAI","JUN","JUL","AGO","SET","OUT","NOV","DEZ"))</f>
        <v/>
      </c>
      <c r="D286" s="40">
        <f>IF($A286="","",IFERROR(IF(INDEX('Lançamento'!$B$6:$M$35,MATCH($A286,'Lançamento'!$A$6:$A$35,0),$B286)="","",INDEX('Lançamento'!$B$6:$M$35,MATCH($A286,'Lançamento'!$A$6:$A$35,0),$B286)),""))</f>
        <v/>
      </c>
      <c r="E286" s="12" t="n"/>
      <c r="F286" s="15">
        <f>IF($A286="","",IF(OR($D286="",$E286=""),"Digitar valor do print",IF(ABS($D286-$E286)&lt;=0.001,"✔ Confere","⚠ Divergente")))</f>
        <v/>
      </c>
      <c r="G286" s="39" t="n"/>
      <c r="H286" s="39" t="n"/>
      <c r="I286" s="41" t="n"/>
      <c r="J286" s="39" t="n"/>
    </row>
    <row r="287">
      <c r="A287" s="38" t="n"/>
      <c r="B287" s="39" t="n"/>
      <c r="C287" s="15">
        <f>IF($A287="","",CHOOSE($B287,"JAN","FEV","MAR","ABR","MAI","JUN","JUL","AGO","SET","OUT","NOV","DEZ"))</f>
        <v/>
      </c>
      <c r="D287" s="40">
        <f>IF($A287="","",IFERROR(IF(INDEX('Lançamento'!$B$6:$M$35,MATCH($A287,'Lançamento'!$A$6:$A$35,0),$B287)="","",INDEX('Lançamento'!$B$6:$M$35,MATCH($A287,'Lançamento'!$A$6:$A$35,0),$B287)),""))</f>
        <v/>
      </c>
      <c r="E287" s="12" t="n"/>
      <c r="F287" s="15">
        <f>IF($A287="","",IF(OR($D287="",$E287=""),"Digitar valor do print",IF(ABS($D287-$E287)&lt;=0.001,"✔ Confere","⚠ Divergente")))</f>
        <v/>
      </c>
      <c r="G287" s="39" t="n"/>
      <c r="H287" s="39" t="n"/>
      <c r="I287" s="41" t="n"/>
      <c r="J287" s="39" t="n"/>
    </row>
    <row r="288">
      <c r="A288" s="38" t="n"/>
      <c r="B288" s="39" t="n"/>
      <c r="C288" s="15">
        <f>IF($A288="","",CHOOSE($B288,"JAN","FEV","MAR","ABR","MAI","JUN","JUL","AGO","SET","OUT","NOV","DEZ"))</f>
        <v/>
      </c>
      <c r="D288" s="40">
        <f>IF($A288="","",IFERROR(IF(INDEX('Lançamento'!$B$6:$M$35,MATCH($A288,'Lançamento'!$A$6:$A$35,0),$B288)="","",INDEX('Lançamento'!$B$6:$M$35,MATCH($A288,'Lançamento'!$A$6:$A$35,0),$B288)),""))</f>
        <v/>
      </c>
      <c r="E288" s="12" t="n"/>
      <c r="F288" s="15">
        <f>IF($A288="","",IF(OR($D288="",$E288=""),"Digitar valor do print",IF(ABS($D288-$E288)&lt;=0.001,"✔ Confere","⚠ Divergente")))</f>
        <v/>
      </c>
      <c r="G288" s="39" t="n"/>
      <c r="H288" s="39" t="n"/>
      <c r="I288" s="41" t="n"/>
      <c r="J288" s="39" t="n"/>
    </row>
    <row r="289">
      <c r="A289" s="38" t="n"/>
      <c r="B289" s="39" t="n"/>
      <c r="C289" s="15">
        <f>IF($A289="","",CHOOSE($B289,"JAN","FEV","MAR","ABR","MAI","JUN","JUL","AGO","SET","OUT","NOV","DEZ"))</f>
        <v/>
      </c>
      <c r="D289" s="40">
        <f>IF($A289="","",IFERROR(IF(INDEX('Lançamento'!$B$6:$M$35,MATCH($A289,'Lançamento'!$A$6:$A$35,0),$B289)="","",INDEX('Lançamento'!$B$6:$M$35,MATCH($A289,'Lançamento'!$A$6:$A$35,0),$B289)),""))</f>
        <v/>
      </c>
      <c r="E289" s="12" t="n"/>
      <c r="F289" s="15">
        <f>IF($A289="","",IF(OR($D289="",$E289=""),"Digitar valor do print",IF(ABS($D289-$E289)&lt;=0.001,"✔ Confere","⚠ Divergente")))</f>
        <v/>
      </c>
      <c r="G289" s="39" t="n"/>
      <c r="H289" s="39" t="n"/>
      <c r="I289" s="41" t="n"/>
      <c r="J289" s="39" t="n"/>
    </row>
    <row r="290">
      <c r="A290" s="38" t="n"/>
      <c r="B290" s="39" t="n"/>
      <c r="C290" s="15">
        <f>IF($A290="","",CHOOSE($B290,"JAN","FEV","MAR","ABR","MAI","JUN","JUL","AGO","SET","OUT","NOV","DEZ"))</f>
        <v/>
      </c>
      <c r="D290" s="40">
        <f>IF($A290="","",IFERROR(IF(INDEX('Lançamento'!$B$6:$M$35,MATCH($A290,'Lançamento'!$A$6:$A$35,0),$B290)="","",INDEX('Lançamento'!$B$6:$M$35,MATCH($A290,'Lançamento'!$A$6:$A$35,0),$B290)),""))</f>
        <v/>
      </c>
      <c r="E290" s="12" t="n"/>
      <c r="F290" s="15">
        <f>IF($A290="","",IF(OR($D290="",$E290=""),"Digitar valor do print",IF(ABS($D290-$E290)&lt;=0.001,"✔ Confere","⚠ Divergente")))</f>
        <v/>
      </c>
      <c r="G290" s="39" t="n"/>
      <c r="H290" s="39" t="n"/>
      <c r="I290" s="41" t="n"/>
      <c r="J290" s="39" t="n"/>
    </row>
    <row r="291">
      <c r="A291" s="38" t="n"/>
      <c r="B291" s="39" t="n"/>
      <c r="C291" s="15">
        <f>IF($A291="","",CHOOSE($B291,"JAN","FEV","MAR","ABR","MAI","JUN","JUL","AGO","SET","OUT","NOV","DEZ"))</f>
        <v/>
      </c>
      <c r="D291" s="40">
        <f>IF($A291="","",IFERROR(IF(INDEX('Lançamento'!$B$6:$M$35,MATCH($A291,'Lançamento'!$A$6:$A$35,0),$B291)="","",INDEX('Lançamento'!$B$6:$M$35,MATCH($A291,'Lançamento'!$A$6:$A$35,0),$B291)),""))</f>
        <v/>
      </c>
      <c r="E291" s="12" t="n"/>
      <c r="F291" s="15">
        <f>IF($A291="","",IF(OR($D291="",$E291=""),"Digitar valor do print",IF(ABS($D291-$E291)&lt;=0.001,"✔ Confere","⚠ Divergente")))</f>
        <v/>
      </c>
      <c r="G291" s="39" t="n"/>
      <c r="H291" s="39" t="n"/>
      <c r="I291" s="41" t="n"/>
      <c r="J291" s="39" t="n"/>
    </row>
    <row r="292">
      <c r="A292" s="38" t="n"/>
      <c r="B292" s="39" t="n"/>
      <c r="C292" s="15">
        <f>IF($A292="","",CHOOSE($B292,"JAN","FEV","MAR","ABR","MAI","JUN","JUL","AGO","SET","OUT","NOV","DEZ"))</f>
        <v/>
      </c>
      <c r="D292" s="40">
        <f>IF($A292="","",IFERROR(IF(INDEX('Lançamento'!$B$6:$M$35,MATCH($A292,'Lançamento'!$A$6:$A$35,0),$B292)="","",INDEX('Lançamento'!$B$6:$M$35,MATCH($A292,'Lançamento'!$A$6:$A$35,0),$B292)),""))</f>
        <v/>
      </c>
      <c r="E292" s="12" t="n"/>
      <c r="F292" s="15">
        <f>IF($A292="","",IF(OR($D292="",$E292=""),"Digitar valor do print",IF(ABS($D292-$E292)&lt;=0.001,"✔ Confere","⚠ Divergente")))</f>
        <v/>
      </c>
      <c r="G292" s="39" t="n"/>
      <c r="H292" s="39" t="n"/>
      <c r="I292" s="41" t="n"/>
      <c r="J292" s="39" t="n"/>
    </row>
    <row r="293">
      <c r="A293" s="38" t="n"/>
      <c r="B293" s="39" t="n"/>
      <c r="C293" s="15">
        <f>IF($A293="","",CHOOSE($B293,"JAN","FEV","MAR","ABR","MAI","JUN","JUL","AGO","SET","OUT","NOV","DEZ"))</f>
        <v/>
      </c>
      <c r="D293" s="40">
        <f>IF($A293="","",IFERROR(IF(INDEX('Lançamento'!$B$6:$M$35,MATCH($A293,'Lançamento'!$A$6:$A$35,0),$B293)="","",INDEX('Lançamento'!$B$6:$M$35,MATCH($A293,'Lançamento'!$A$6:$A$35,0),$B293)),""))</f>
        <v/>
      </c>
      <c r="E293" s="12" t="n"/>
      <c r="F293" s="15">
        <f>IF($A293="","",IF(OR($D293="",$E293=""),"Digitar valor do print",IF(ABS($D293-$E293)&lt;=0.001,"✔ Confere","⚠ Divergente")))</f>
        <v/>
      </c>
      <c r="G293" s="39" t="n"/>
      <c r="H293" s="39" t="n"/>
      <c r="I293" s="41" t="n"/>
      <c r="J293" s="39" t="n"/>
    </row>
    <row r="294">
      <c r="A294" s="38" t="n"/>
      <c r="B294" s="39" t="n"/>
      <c r="C294" s="15">
        <f>IF($A294="","",CHOOSE($B294,"JAN","FEV","MAR","ABR","MAI","JUN","JUL","AGO","SET","OUT","NOV","DEZ"))</f>
        <v/>
      </c>
      <c r="D294" s="40">
        <f>IF($A294="","",IFERROR(IF(INDEX('Lançamento'!$B$6:$M$35,MATCH($A294,'Lançamento'!$A$6:$A$35,0),$B294)="","",INDEX('Lançamento'!$B$6:$M$35,MATCH($A294,'Lançamento'!$A$6:$A$35,0),$B294)),""))</f>
        <v/>
      </c>
      <c r="E294" s="12" t="n"/>
      <c r="F294" s="15">
        <f>IF($A294="","",IF(OR($D294="",$E294=""),"Digitar valor do print",IF(ABS($D294-$E294)&lt;=0.001,"✔ Confere","⚠ Divergente")))</f>
        <v/>
      </c>
      <c r="G294" s="39" t="n"/>
      <c r="H294" s="39" t="n"/>
      <c r="I294" s="41" t="n"/>
      <c r="J294" s="39" t="n"/>
    </row>
    <row r="295">
      <c r="A295" s="38" t="n"/>
      <c r="B295" s="39" t="n"/>
      <c r="C295" s="15">
        <f>IF($A295="","",CHOOSE($B295,"JAN","FEV","MAR","ABR","MAI","JUN","JUL","AGO","SET","OUT","NOV","DEZ"))</f>
        <v/>
      </c>
      <c r="D295" s="40">
        <f>IF($A295="","",IFERROR(IF(INDEX('Lançamento'!$B$6:$M$35,MATCH($A295,'Lançamento'!$A$6:$A$35,0),$B295)="","",INDEX('Lançamento'!$B$6:$M$35,MATCH($A295,'Lançamento'!$A$6:$A$35,0),$B295)),""))</f>
        <v/>
      </c>
      <c r="E295" s="12" t="n"/>
      <c r="F295" s="15">
        <f>IF($A295="","",IF(OR($D295="",$E295=""),"Digitar valor do print",IF(ABS($D295-$E295)&lt;=0.001,"✔ Confere","⚠ Divergente")))</f>
        <v/>
      </c>
      <c r="G295" s="39" t="n"/>
      <c r="H295" s="39" t="n"/>
      <c r="I295" s="41" t="n"/>
      <c r="J295" s="39" t="n"/>
    </row>
    <row r="296">
      <c r="A296" s="38" t="n"/>
      <c r="B296" s="39" t="n"/>
      <c r="C296" s="15">
        <f>IF($A296="","",CHOOSE($B296,"JAN","FEV","MAR","ABR","MAI","JUN","JUL","AGO","SET","OUT","NOV","DEZ"))</f>
        <v/>
      </c>
      <c r="D296" s="40">
        <f>IF($A296="","",IFERROR(IF(INDEX('Lançamento'!$B$6:$M$35,MATCH($A296,'Lançamento'!$A$6:$A$35,0),$B296)="","",INDEX('Lançamento'!$B$6:$M$35,MATCH($A296,'Lançamento'!$A$6:$A$35,0),$B296)),""))</f>
        <v/>
      </c>
      <c r="E296" s="12" t="n"/>
      <c r="F296" s="15">
        <f>IF($A296="","",IF(OR($D296="",$E296=""),"Digitar valor do print",IF(ABS($D296-$E296)&lt;=0.001,"✔ Confere","⚠ Divergente")))</f>
        <v/>
      </c>
      <c r="G296" s="39" t="n"/>
      <c r="H296" s="39" t="n"/>
      <c r="I296" s="41" t="n"/>
      <c r="J296" s="39" t="n"/>
    </row>
    <row r="297">
      <c r="A297" s="38" t="n"/>
      <c r="B297" s="39" t="n"/>
      <c r="C297" s="15">
        <f>IF($A297="","",CHOOSE($B297,"JAN","FEV","MAR","ABR","MAI","JUN","JUL","AGO","SET","OUT","NOV","DEZ"))</f>
        <v/>
      </c>
      <c r="D297" s="40">
        <f>IF($A297="","",IFERROR(IF(INDEX('Lançamento'!$B$6:$M$35,MATCH($A297,'Lançamento'!$A$6:$A$35,0),$B297)="","",INDEX('Lançamento'!$B$6:$M$35,MATCH($A297,'Lançamento'!$A$6:$A$35,0),$B297)),""))</f>
        <v/>
      </c>
      <c r="E297" s="12" t="n"/>
      <c r="F297" s="15">
        <f>IF($A297="","",IF(OR($D297="",$E297=""),"Digitar valor do print",IF(ABS($D297-$E297)&lt;=0.001,"✔ Confere","⚠ Divergente")))</f>
        <v/>
      </c>
      <c r="G297" s="39" t="n"/>
      <c r="H297" s="39" t="n"/>
      <c r="I297" s="41" t="n"/>
      <c r="J297" s="39" t="n"/>
    </row>
    <row r="298">
      <c r="A298" s="38" t="n"/>
      <c r="B298" s="39" t="n"/>
      <c r="C298" s="15">
        <f>IF($A298="","",CHOOSE($B298,"JAN","FEV","MAR","ABR","MAI","JUN","JUL","AGO","SET","OUT","NOV","DEZ"))</f>
        <v/>
      </c>
      <c r="D298" s="40">
        <f>IF($A298="","",IFERROR(IF(INDEX('Lançamento'!$B$6:$M$35,MATCH($A298,'Lançamento'!$A$6:$A$35,0),$B298)="","",INDEX('Lançamento'!$B$6:$M$35,MATCH($A298,'Lançamento'!$A$6:$A$35,0),$B298)),""))</f>
        <v/>
      </c>
      <c r="E298" s="12" t="n"/>
      <c r="F298" s="15">
        <f>IF($A298="","",IF(OR($D298="",$E298=""),"Digitar valor do print",IF(ABS($D298-$E298)&lt;=0.001,"✔ Confere","⚠ Divergente")))</f>
        <v/>
      </c>
      <c r="G298" s="39" t="n"/>
      <c r="H298" s="39" t="n"/>
      <c r="I298" s="41" t="n"/>
      <c r="J298" s="39" t="n"/>
    </row>
    <row r="299">
      <c r="A299" s="38" t="n"/>
      <c r="B299" s="39" t="n"/>
      <c r="C299" s="15">
        <f>IF($A299="","",CHOOSE($B299,"JAN","FEV","MAR","ABR","MAI","JUN","JUL","AGO","SET","OUT","NOV","DEZ"))</f>
        <v/>
      </c>
      <c r="D299" s="40">
        <f>IF($A299="","",IFERROR(IF(INDEX('Lançamento'!$B$6:$M$35,MATCH($A299,'Lançamento'!$A$6:$A$35,0),$B299)="","",INDEX('Lançamento'!$B$6:$M$35,MATCH($A299,'Lançamento'!$A$6:$A$35,0),$B299)),""))</f>
        <v/>
      </c>
      <c r="E299" s="12" t="n"/>
      <c r="F299" s="15">
        <f>IF($A299="","",IF(OR($D299="",$E299=""),"Digitar valor do print",IF(ABS($D299-$E299)&lt;=0.001,"✔ Confere","⚠ Divergente")))</f>
        <v/>
      </c>
      <c r="G299" s="39" t="n"/>
      <c r="H299" s="39" t="n"/>
      <c r="I299" s="41" t="n"/>
      <c r="J299" s="39" t="n"/>
    </row>
    <row r="300">
      <c r="A300" s="38" t="n"/>
      <c r="B300" s="39" t="n"/>
      <c r="C300" s="15">
        <f>IF($A300="","",CHOOSE($B300,"JAN","FEV","MAR","ABR","MAI","JUN","JUL","AGO","SET","OUT","NOV","DEZ"))</f>
        <v/>
      </c>
      <c r="D300" s="40">
        <f>IF($A300="","",IFERROR(IF(INDEX('Lançamento'!$B$6:$M$35,MATCH($A300,'Lançamento'!$A$6:$A$35,0),$B300)="","",INDEX('Lançamento'!$B$6:$M$35,MATCH($A300,'Lançamento'!$A$6:$A$35,0),$B300)),""))</f>
        <v/>
      </c>
      <c r="E300" s="12" t="n"/>
      <c r="F300" s="15">
        <f>IF($A300="","",IF(OR($D300="",$E300=""),"Digitar valor do print",IF(ABS($D300-$E300)&lt;=0.001,"✔ Confere","⚠ Divergente")))</f>
        <v/>
      </c>
      <c r="G300" s="39" t="n"/>
      <c r="H300" s="39" t="n"/>
      <c r="I300" s="41" t="n"/>
      <c r="J300" s="39" t="n"/>
    </row>
    <row r="301">
      <c r="A301" s="38" t="n"/>
      <c r="B301" s="39" t="n"/>
      <c r="C301" s="15">
        <f>IF($A301="","",CHOOSE($B301,"JAN","FEV","MAR","ABR","MAI","JUN","JUL","AGO","SET","OUT","NOV","DEZ"))</f>
        <v/>
      </c>
      <c r="D301" s="40">
        <f>IF($A301="","",IFERROR(IF(INDEX('Lançamento'!$B$6:$M$35,MATCH($A301,'Lançamento'!$A$6:$A$35,0),$B301)="","",INDEX('Lançamento'!$B$6:$M$35,MATCH($A301,'Lançamento'!$A$6:$A$35,0),$B301)),""))</f>
        <v/>
      </c>
      <c r="E301" s="12" t="n"/>
      <c r="F301" s="15">
        <f>IF($A301="","",IF(OR($D301="",$E301=""),"Digitar valor do print",IF(ABS($D301-$E301)&lt;=0.001,"✔ Confere","⚠ Divergente")))</f>
        <v/>
      </c>
      <c r="G301" s="39" t="n"/>
      <c r="H301" s="39" t="n"/>
      <c r="I301" s="41" t="n"/>
      <c r="J301" s="39" t="n"/>
    </row>
    <row r="302">
      <c r="A302" s="38" t="n"/>
      <c r="B302" s="39" t="n"/>
      <c r="C302" s="15">
        <f>IF($A302="","",CHOOSE($B302,"JAN","FEV","MAR","ABR","MAI","JUN","JUL","AGO","SET","OUT","NOV","DEZ"))</f>
        <v/>
      </c>
      <c r="D302" s="40">
        <f>IF($A302="","",IFERROR(IF(INDEX('Lançamento'!$B$6:$M$35,MATCH($A302,'Lançamento'!$A$6:$A$35,0),$B302)="","",INDEX('Lançamento'!$B$6:$M$35,MATCH($A302,'Lançamento'!$A$6:$A$35,0),$B302)),""))</f>
        <v/>
      </c>
      <c r="E302" s="12" t="n"/>
      <c r="F302" s="15">
        <f>IF($A302="","",IF(OR($D302="",$E302=""),"Digitar valor do print",IF(ABS($D302-$E302)&lt;=0.001,"✔ Confere","⚠ Divergente")))</f>
        <v/>
      </c>
      <c r="G302" s="39" t="n"/>
      <c r="H302" s="39" t="n"/>
      <c r="I302" s="41" t="n"/>
      <c r="J302" s="39" t="n"/>
    </row>
    <row r="303">
      <c r="A303" s="38" t="n"/>
      <c r="B303" s="39" t="n"/>
      <c r="C303" s="15">
        <f>IF($A303="","",CHOOSE($B303,"JAN","FEV","MAR","ABR","MAI","JUN","JUL","AGO","SET","OUT","NOV","DEZ"))</f>
        <v/>
      </c>
      <c r="D303" s="40">
        <f>IF($A303="","",IFERROR(IF(INDEX('Lançamento'!$B$6:$M$35,MATCH($A303,'Lançamento'!$A$6:$A$35,0),$B303)="","",INDEX('Lançamento'!$B$6:$M$35,MATCH($A303,'Lançamento'!$A$6:$A$35,0),$B303)),""))</f>
        <v/>
      </c>
      <c r="E303" s="12" t="n"/>
      <c r="F303" s="15">
        <f>IF($A303="","",IF(OR($D303="",$E303=""),"Digitar valor do print",IF(ABS($D303-$E303)&lt;=0.001,"✔ Confere","⚠ Divergente")))</f>
        <v/>
      </c>
      <c r="G303" s="39" t="n"/>
      <c r="H303" s="39" t="n"/>
      <c r="I303" s="41" t="n"/>
      <c r="J303" s="39" t="n"/>
    </row>
    <row r="304">
      <c r="A304" s="38" t="n"/>
      <c r="B304" s="39" t="n"/>
      <c r="C304" s="15">
        <f>IF($A304="","",CHOOSE($B304,"JAN","FEV","MAR","ABR","MAI","JUN","JUL","AGO","SET","OUT","NOV","DEZ"))</f>
        <v/>
      </c>
      <c r="D304" s="40">
        <f>IF($A304="","",IFERROR(IF(INDEX('Lançamento'!$B$6:$M$35,MATCH($A304,'Lançamento'!$A$6:$A$35,0),$B304)="","",INDEX('Lançamento'!$B$6:$M$35,MATCH($A304,'Lançamento'!$A$6:$A$35,0),$B304)),""))</f>
        <v/>
      </c>
      <c r="E304" s="12" t="n"/>
      <c r="F304" s="15">
        <f>IF($A304="","",IF(OR($D304="",$E304=""),"Digitar valor do print",IF(ABS($D304-$E304)&lt;=0.001,"✔ Confere","⚠ Divergente")))</f>
        <v/>
      </c>
      <c r="G304" s="39" t="n"/>
      <c r="H304" s="39" t="n"/>
      <c r="I304" s="41" t="n"/>
      <c r="J304" s="39" t="n"/>
    </row>
    <row r="305">
      <c r="A305" s="38" t="n"/>
      <c r="B305" s="39" t="n"/>
      <c r="C305" s="15">
        <f>IF($A305="","",CHOOSE($B305,"JAN","FEV","MAR","ABR","MAI","JUN","JUL","AGO","SET","OUT","NOV","DEZ"))</f>
        <v/>
      </c>
      <c r="D305" s="40">
        <f>IF($A305="","",IFERROR(IF(INDEX('Lançamento'!$B$6:$M$35,MATCH($A305,'Lançamento'!$A$6:$A$35,0),$B305)="","",INDEX('Lançamento'!$B$6:$M$35,MATCH($A305,'Lançamento'!$A$6:$A$35,0),$B305)),""))</f>
        <v/>
      </c>
      <c r="E305" s="12" t="n"/>
      <c r="F305" s="15">
        <f>IF($A305="","",IF(OR($D305="",$E305=""),"Digitar valor do print",IF(ABS($D305-$E305)&lt;=0.001,"✔ Confere","⚠ Divergente")))</f>
        <v/>
      </c>
      <c r="G305" s="39" t="n"/>
      <c r="H305" s="39" t="n"/>
      <c r="I305" s="41" t="n"/>
      <c r="J305" s="39" t="n"/>
    </row>
    <row r="306">
      <c r="A306" s="38" t="n"/>
      <c r="B306" s="39" t="n"/>
      <c r="C306" s="15">
        <f>IF($A306="","",CHOOSE($B306,"JAN","FEV","MAR","ABR","MAI","JUN","JUL","AGO","SET","OUT","NOV","DEZ"))</f>
        <v/>
      </c>
      <c r="D306" s="40">
        <f>IF($A306="","",IFERROR(IF(INDEX('Lançamento'!$B$6:$M$35,MATCH($A306,'Lançamento'!$A$6:$A$35,0),$B306)="","",INDEX('Lançamento'!$B$6:$M$35,MATCH($A306,'Lançamento'!$A$6:$A$35,0),$B306)),""))</f>
        <v/>
      </c>
      <c r="E306" s="12" t="n"/>
      <c r="F306" s="15">
        <f>IF($A306="","",IF(OR($D306="",$E306=""),"Digitar valor do print",IF(ABS($D306-$E306)&lt;=0.001,"✔ Confere","⚠ Divergente")))</f>
        <v/>
      </c>
      <c r="G306" s="39" t="n"/>
      <c r="H306" s="39" t="n"/>
      <c r="I306" s="41" t="n"/>
      <c r="J306" s="39" t="n"/>
    </row>
    <row r="307">
      <c r="A307" s="38" t="n"/>
      <c r="B307" s="39" t="n"/>
      <c r="C307" s="15">
        <f>IF($A307="","",CHOOSE($B307,"JAN","FEV","MAR","ABR","MAI","JUN","JUL","AGO","SET","OUT","NOV","DEZ"))</f>
        <v/>
      </c>
      <c r="D307" s="40">
        <f>IF($A307="","",IFERROR(IF(INDEX('Lançamento'!$B$6:$M$35,MATCH($A307,'Lançamento'!$A$6:$A$35,0),$B307)="","",INDEX('Lançamento'!$B$6:$M$35,MATCH($A307,'Lançamento'!$A$6:$A$35,0),$B307)),""))</f>
        <v/>
      </c>
      <c r="E307" s="12" t="n"/>
      <c r="F307" s="15">
        <f>IF($A307="","",IF(OR($D307="",$E307=""),"Digitar valor do print",IF(ABS($D307-$E307)&lt;=0.001,"✔ Confere","⚠ Divergente")))</f>
        <v/>
      </c>
      <c r="G307" s="39" t="n"/>
      <c r="H307" s="39" t="n"/>
      <c r="I307" s="41" t="n"/>
      <c r="J307" s="39" t="n"/>
    </row>
    <row r="308">
      <c r="A308" s="38" t="n"/>
      <c r="B308" s="39" t="n"/>
      <c r="C308" s="15">
        <f>IF($A308="","",CHOOSE($B308,"JAN","FEV","MAR","ABR","MAI","JUN","JUL","AGO","SET","OUT","NOV","DEZ"))</f>
        <v/>
      </c>
      <c r="D308" s="40">
        <f>IF($A308="","",IFERROR(IF(INDEX('Lançamento'!$B$6:$M$35,MATCH($A308,'Lançamento'!$A$6:$A$35,0),$B308)="","",INDEX('Lançamento'!$B$6:$M$35,MATCH($A308,'Lançamento'!$A$6:$A$35,0),$B308)),""))</f>
        <v/>
      </c>
      <c r="E308" s="12" t="n"/>
      <c r="F308" s="15">
        <f>IF($A308="","",IF(OR($D308="",$E308=""),"Digitar valor do print",IF(ABS($D308-$E308)&lt;=0.001,"✔ Confere","⚠ Divergente")))</f>
        <v/>
      </c>
      <c r="G308" s="39" t="n"/>
      <c r="H308" s="39" t="n"/>
      <c r="I308" s="41" t="n"/>
      <c r="J308" s="39" t="n"/>
    </row>
    <row r="309">
      <c r="A309" s="38" t="n"/>
      <c r="B309" s="39" t="n"/>
      <c r="C309" s="15">
        <f>IF($A309="","",CHOOSE($B309,"JAN","FEV","MAR","ABR","MAI","JUN","JUL","AGO","SET","OUT","NOV","DEZ"))</f>
        <v/>
      </c>
      <c r="D309" s="40">
        <f>IF($A309="","",IFERROR(IF(INDEX('Lançamento'!$B$6:$M$35,MATCH($A309,'Lançamento'!$A$6:$A$35,0),$B309)="","",INDEX('Lançamento'!$B$6:$M$35,MATCH($A309,'Lançamento'!$A$6:$A$35,0),$B309)),""))</f>
        <v/>
      </c>
      <c r="E309" s="12" t="n"/>
      <c r="F309" s="15">
        <f>IF($A309="","",IF(OR($D309="",$E309=""),"Digitar valor do print",IF(ABS($D309-$E309)&lt;=0.001,"✔ Confere","⚠ Divergente")))</f>
        <v/>
      </c>
      <c r="G309" s="39" t="n"/>
      <c r="H309" s="39" t="n"/>
      <c r="I309" s="41" t="n"/>
      <c r="J309" s="39" t="n"/>
    </row>
    <row r="310">
      <c r="A310" s="38" t="n"/>
      <c r="B310" s="39" t="n"/>
      <c r="C310" s="15">
        <f>IF($A310="","",CHOOSE($B310,"JAN","FEV","MAR","ABR","MAI","JUN","JUL","AGO","SET","OUT","NOV","DEZ"))</f>
        <v/>
      </c>
      <c r="D310" s="40">
        <f>IF($A310="","",IFERROR(IF(INDEX('Lançamento'!$B$6:$M$35,MATCH($A310,'Lançamento'!$A$6:$A$35,0),$B310)="","",INDEX('Lançamento'!$B$6:$M$35,MATCH($A310,'Lançamento'!$A$6:$A$35,0),$B310)),""))</f>
        <v/>
      </c>
      <c r="E310" s="12" t="n"/>
      <c r="F310" s="15">
        <f>IF($A310="","",IF(OR($D310="",$E310=""),"Digitar valor do print",IF(ABS($D310-$E310)&lt;=0.001,"✔ Confere","⚠ Divergente")))</f>
        <v/>
      </c>
      <c r="G310" s="39" t="n"/>
      <c r="H310" s="39" t="n"/>
      <c r="I310" s="41" t="n"/>
      <c r="J310" s="39" t="n"/>
    </row>
    <row r="311">
      <c r="A311" s="38" t="n"/>
      <c r="B311" s="39" t="n"/>
      <c r="C311" s="15">
        <f>IF($A311="","",CHOOSE($B311,"JAN","FEV","MAR","ABR","MAI","JUN","JUL","AGO","SET","OUT","NOV","DEZ"))</f>
        <v/>
      </c>
      <c r="D311" s="40">
        <f>IF($A311="","",IFERROR(IF(INDEX('Lançamento'!$B$6:$M$35,MATCH($A311,'Lançamento'!$A$6:$A$35,0),$B311)="","",INDEX('Lançamento'!$B$6:$M$35,MATCH($A311,'Lançamento'!$A$6:$A$35,0),$B311)),""))</f>
        <v/>
      </c>
      <c r="E311" s="12" t="n"/>
      <c r="F311" s="15">
        <f>IF($A311="","",IF(OR($D311="",$E311=""),"Digitar valor do print",IF(ABS($D311-$E311)&lt;=0.001,"✔ Confere","⚠ Divergente")))</f>
        <v/>
      </c>
      <c r="G311" s="39" t="n"/>
      <c r="H311" s="39" t="n"/>
      <c r="I311" s="41" t="n"/>
      <c r="J311" s="39" t="n"/>
    </row>
    <row r="312">
      <c r="A312" s="38" t="n"/>
      <c r="B312" s="39" t="n"/>
      <c r="C312" s="15">
        <f>IF($A312="","",CHOOSE($B312,"JAN","FEV","MAR","ABR","MAI","JUN","JUL","AGO","SET","OUT","NOV","DEZ"))</f>
        <v/>
      </c>
      <c r="D312" s="40">
        <f>IF($A312="","",IFERROR(IF(INDEX('Lançamento'!$B$6:$M$35,MATCH($A312,'Lançamento'!$A$6:$A$35,0),$B312)="","",INDEX('Lançamento'!$B$6:$M$35,MATCH($A312,'Lançamento'!$A$6:$A$35,0),$B312)),""))</f>
        <v/>
      </c>
      <c r="E312" s="12" t="n"/>
      <c r="F312" s="15">
        <f>IF($A312="","",IF(OR($D312="",$E312=""),"Digitar valor do print",IF(ABS($D312-$E312)&lt;=0.001,"✔ Confere","⚠ Divergente")))</f>
        <v/>
      </c>
      <c r="G312" s="39" t="n"/>
      <c r="H312" s="39" t="n"/>
      <c r="I312" s="41" t="n"/>
      <c r="J312" s="39" t="n"/>
    </row>
    <row r="313">
      <c r="A313" s="38" t="n"/>
      <c r="B313" s="39" t="n"/>
      <c r="C313" s="15">
        <f>IF($A313="","",CHOOSE($B313,"JAN","FEV","MAR","ABR","MAI","JUN","JUL","AGO","SET","OUT","NOV","DEZ"))</f>
        <v/>
      </c>
      <c r="D313" s="40">
        <f>IF($A313="","",IFERROR(IF(INDEX('Lançamento'!$B$6:$M$35,MATCH($A313,'Lançamento'!$A$6:$A$35,0),$B313)="","",INDEX('Lançamento'!$B$6:$M$35,MATCH($A313,'Lançamento'!$A$6:$A$35,0),$B313)),""))</f>
        <v/>
      </c>
      <c r="E313" s="12" t="n"/>
      <c r="F313" s="15">
        <f>IF($A313="","",IF(OR($D313="",$E313=""),"Digitar valor do print",IF(ABS($D313-$E313)&lt;=0.001,"✔ Confere","⚠ Divergente")))</f>
        <v/>
      </c>
      <c r="G313" s="39" t="n"/>
      <c r="H313" s="39" t="n"/>
      <c r="I313" s="41" t="n"/>
      <c r="J313" s="39" t="n"/>
    </row>
    <row r="314">
      <c r="A314" s="38" t="n"/>
      <c r="B314" s="39" t="n"/>
      <c r="C314" s="15">
        <f>IF($A314="","",CHOOSE($B314,"JAN","FEV","MAR","ABR","MAI","JUN","JUL","AGO","SET","OUT","NOV","DEZ"))</f>
        <v/>
      </c>
      <c r="D314" s="40">
        <f>IF($A314="","",IFERROR(IF(INDEX('Lançamento'!$B$6:$M$35,MATCH($A314,'Lançamento'!$A$6:$A$35,0),$B314)="","",INDEX('Lançamento'!$B$6:$M$35,MATCH($A314,'Lançamento'!$A$6:$A$35,0),$B314)),""))</f>
        <v/>
      </c>
      <c r="E314" s="12" t="n"/>
      <c r="F314" s="15">
        <f>IF($A314="","",IF(OR($D314="",$E314=""),"Digitar valor do print",IF(ABS($D314-$E314)&lt;=0.001,"✔ Confere","⚠ Divergente")))</f>
        <v/>
      </c>
      <c r="G314" s="39" t="n"/>
      <c r="H314" s="39" t="n"/>
      <c r="I314" s="41" t="n"/>
      <c r="J314" s="39" t="n"/>
    </row>
    <row r="315">
      <c r="A315" s="38" t="n"/>
      <c r="B315" s="39" t="n"/>
      <c r="C315" s="15">
        <f>IF($A315="","",CHOOSE($B315,"JAN","FEV","MAR","ABR","MAI","JUN","JUL","AGO","SET","OUT","NOV","DEZ"))</f>
        <v/>
      </c>
      <c r="D315" s="40">
        <f>IF($A315="","",IFERROR(IF(INDEX('Lançamento'!$B$6:$M$35,MATCH($A315,'Lançamento'!$A$6:$A$35,0),$B315)="","",INDEX('Lançamento'!$B$6:$M$35,MATCH($A315,'Lançamento'!$A$6:$A$35,0),$B315)),""))</f>
        <v/>
      </c>
      <c r="E315" s="12" t="n"/>
      <c r="F315" s="15">
        <f>IF($A315="","",IF(OR($D315="",$E315=""),"Digitar valor do print",IF(ABS($D315-$E315)&lt;=0.001,"✔ Confere","⚠ Divergente")))</f>
        <v/>
      </c>
      <c r="G315" s="39" t="n"/>
      <c r="H315" s="39" t="n"/>
      <c r="I315" s="41" t="n"/>
      <c r="J315" s="39" t="n"/>
    </row>
    <row r="316">
      <c r="A316" s="38" t="n"/>
      <c r="B316" s="39" t="n"/>
      <c r="C316" s="15">
        <f>IF($A316="","",CHOOSE($B316,"JAN","FEV","MAR","ABR","MAI","JUN","JUL","AGO","SET","OUT","NOV","DEZ"))</f>
        <v/>
      </c>
      <c r="D316" s="40">
        <f>IF($A316="","",IFERROR(IF(INDEX('Lançamento'!$B$6:$M$35,MATCH($A316,'Lançamento'!$A$6:$A$35,0),$B316)="","",INDEX('Lançamento'!$B$6:$M$35,MATCH($A316,'Lançamento'!$A$6:$A$35,0),$B316)),""))</f>
        <v/>
      </c>
      <c r="E316" s="12" t="n"/>
      <c r="F316" s="15">
        <f>IF($A316="","",IF(OR($D316="",$E316=""),"Digitar valor do print",IF(ABS($D316-$E316)&lt;=0.001,"✔ Confere","⚠ Divergente")))</f>
        <v/>
      </c>
      <c r="G316" s="39" t="n"/>
      <c r="H316" s="39" t="n"/>
      <c r="I316" s="41" t="n"/>
      <c r="J316" s="39" t="n"/>
    </row>
    <row r="317">
      <c r="A317" s="38" t="n"/>
      <c r="B317" s="39" t="n"/>
      <c r="C317" s="15">
        <f>IF($A317="","",CHOOSE($B317,"JAN","FEV","MAR","ABR","MAI","JUN","JUL","AGO","SET","OUT","NOV","DEZ"))</f>
        <v/>
      </c>
      <c r="D317" s="40">
        <f>IF($A317="","",IFERROR(IF(INDEX('Lançamento'!$B$6:$M$35,MATCH($A317,'Lançamento'!$A$6:$A$35,0),$B317)="","",INDEX('Lançamento'!$B$6:$M$35,MATCH($A317,'Lançamento'!$A$6:$A$35,0),$B317)),""))</f>
        <v/>
      </c>
      <c r="E317" s="12" t="n"/>
      <c r="F317" s="15">
        <f>IF($A317="","",IF(OR($D317="",$E317=""),"Digitar valor do print",IF(ABS($D317-$E317)&lt;=0.001,"✔ Confere","⚠ Divergente")))</f>
        <v/>
      </c>
      <c r="G317" s="39" t="n"/>
      <c r="H317" s="39" t="n"/>
      <c r="I317" s="41" t="n"/>
      <c r="J317" s="39" t="n"/>
    </row>
    <row r="318">
      <c r="A318" s="38" t="n"/>
      <c r="B318" s="39" t="n"/>
      <c r="C318" s="15">
        <f>IF($A318="","",CHOOSE($B318,"JAN","FEV","MAR","ABR","MAI","JUN","JUL","AGO","SET","OUT","NOV","DEZ"))</f>
        <v/>
      </c>
      <c r="D318" s="40">
        <f>IF($A318="","",IFERROR(IF(INDEX('Lançamento'!$B$6:$M$35,MATCH($A318,'Lançamento'!$A$6:$A$35,0),$B318)="","",INDEX('Lançamento'!$B$6:$M$35,MATCH($A318,'Lançamento'!$A$6:$A$35,0),$B318)),""))</f>
        <v/>
      </c>
      <c r="E318" s="12" t="n"/>
      <c r="F318" s="15">
        <f>IF($A318="","",IF(OR($D318="",$E318=""),"Digitar valor do print",IF(ABS($D318-$E318)&lt;=0.001,"✔ Confere","⚠ Divergente")))</f>
        <v/>
      </c>
      <c r="G318" s="39" t="n"/>
      <c r="H318" s="39" t="n"/>
      <c r="I318" s="41" t="n"/>
      <c r="J318" s="39" t="n"/>
    </row>
    <row r="319">
      <c r="A319" s="38" t="n"/>
      <c r="B319" s="39" t="n"/>
      <c r="C319" s="15">
        <f>IF($A319="","",CHOOSE($B319,"JAN","FEV","MAR","ABR","MAI","JUN","JUL","AGO","SET","OUT","NOV","DEZ"))</f>
        <v/>
      </c>
      <c r="D319" s="40">
        <f>IF($A319="","",IFERROR(IF(INDEX('Lançamento'!$B$6:$M$35,MATCH($A319,'Lançamento'!$A$6:$A$35,0),$B319)="","",INDEX('Lançamento'!$B$6:$M$35,MATCH($A319,'Lançamento'!$A$6:$A$35,0),$B319)),""))</f>
        <v/>
      </c>
      <c r="E319" s="12" t="n"/>
      <c r="F319" s="15">
        <f>IF($A319="","",IF(OR($D319="",$E319=""),"Digitar valor do print",IF(ABS($D319-$E319)&lt;=0.001,"✔ Confere","⚠ Divergente")))</f>
        <v/>
      </c>
      <c r="G319" s="39" t="n"/>
      <c r="H319" s="39" t="n"/>
      <c r="I319" s="41" t="n"/>
      <c r="J319" s="39" t="n"/>
    </row>
    <row r="320">
      <c r="A320" s="38" t="n"/>
      <c r="B320" s="39" t="n"/>
      <c r="C320" s="15">
        <f>IF($A320="","",CHOOSE($B320,"JAN","FEV","MAR","ABR","MAI","JUN","JUL","AGO","SET","OUT","NOV","DEZ"))</f>
        <v/>
      </c>
      <c r="D320" s="40">
        <f>IF($A320="","",IFERROR(IF(INDEX('Lançamento'!$B$6:$M$35,MATCH($A320,'Lançamento'!$A$6:$A$35,0),$B320)="","",INDEX('Lançamento'!$B$6:$M$35,MATCH($A320,'Lançamento'!$A$6:$A$35,0),$B320)),""))</f>
        <v/>
      </c>
      <c r="E320" s="12" t="n"/>
      <c r="F320" s="15">
        <f>IF($A320="","",IF(OR($D320="",$E320=""),"Digitar valor do print",IF(ABS($D320-$E320)&lt;=0.001,"✔ Confere","⚠ Divergente")))</f>
        <v/>
      </c>
      <c r="G320" s="39" t="n"/>
      <c r="H320" s="39" t="n"/>
      <c r="I320" s="41" t="n"/>
      <c r="J320" s="39" t="n"/>
    </row>
    <row r="321">
      <c r="A321" s="38" t="n"/>
      <c r="B321" s="39" t="n"/>
      <c r="C321" s="15">
        <f>IF($A321="","",CHOOSE($B321,"JAN","FEV","MAR","ABR","MAI","JUN","JUL","AGO","SET","OUT","NOV","DEZ"))</f>
        <v/>
      </c>
      <c r="D321" s="40">
        <f>IF($A321="","",IFERROR(IF(INDEX('Lançamento'!$B$6:$M$35,MATCH($A321,'Lançamento'!$A$6:$A$35,0),$B321)="","",INDEX('Lançamento'!$B$6:$M$35,MATCH($A321,'Lançamento'!$A$6:$A$35,0),$B321)),""))</f>
        <v/>
      </c>
      <c r="E321" s="12" t="n"/>
      <c r="F321" s="15">
        <f>IF($A321="","",IF(OR($D321="",$E321=""),"Digitar valor do print",IF(ABS($D321-$E321)&lt;=0.001,"✔ Confere","⚠ Divergente")))</f>
        <v/>
      </c>
      <c r="G321" s="39" t="n"/>
      <c r="H321" s="39" t="n"/>
      <c r="I321" s="41" t="n"/>
      <c r="J321" s="39" t="n"/>
    </row>
    <row r="322">
      <c r="A322" s="38" t="n"/>
      <c r="B322" s="39" t="n"/>
      <c r="C322" s="15">
        <f>IF($A322="","",CHOOSE($B322,"JAN","FEV","MAR","ABR","MAI","JUN","JUL","AGO","SET","OUT","NOV","DEZ"))</f>
        <v/>
      </c>
      <c r="D322" s="40">
        <f>IF($A322="","",IFERROR(IF(INDEX('Lançamento'!$B$6:$M$35,MATCH($A322,'Lançamento'!$A$6:$A$35,0),$B322)="","",INDEX('Lançamento'!$B$6:$M$35,MATCH($A322,'Lançamento'!$A$6:$A$35,0),$B322)),""))</f>
        <v/>
      </c>
      <c r="E322" s="12" t="n"/>
      <c r="F322" s="15">
        <f>IF($A322="","",IF(OR($D322="",$E322=""),"Digitar valor do print",IF(ABS($D322-$E322)&lt;=0.001,"✔ Confere","⚠ Divergente")))</f>
        <v/>
      </c>
      <c r="G322" s="39" t="n"/>
      <c r="H322" s="39" t="n"/>
      <c r="I322" s="41" t="n"/>
      <c r="J322" s="39" t="n"/>
    </row>
    <row r="323">
      <c r="A323" s="38" t="n"/>
      <c r="B323" s="39" t="n"/>
      <c r="C323" s="15">
        <f>IF($A323="","",CHOOSE($B323,"JAN","FEV","MAR","ABR","MAI","JUN","JUL","AGO","SET","OUT","NOV","DEZ"))</f>
        <v/>
      </c>
      <c r="D323" s="40">
        <f>IF($A323="","",IFERROR(IF(INDEX('Lançamento'!$B$6:$M$35,MATCH($A323,'Lançamento'!$A$6:$A$35,0),$B323)="","",INDEX('Lançamento'!$B$6:$M$35,MATCH($A323,'Lançamento'!$A$6:$A$35,0),$B323)),""))</f>
        <v/>
      </c>
      <c r="E323" s="12" t="n"/>
      <c r="F323" s="15">
        <f>IF($A323="","",IF(OR($D323="",$E323=""),"Digitar valor do print",IF(ABS($D323-$E323)&lt;=0.001,"✔ Confere","⚠ Divergente")))</f>
        <v/>
      </c>
      <c r="G323" s="39" t="n"/>
      <c r="H323" s="39" t="n"/>
      <c r="I323" s="41" t="n"/>
      <c r="J323" s="39" t="n"/>
    </row>
    <row r="324">
      <c r="A324" s="38" t="n"/>
      <c r="B324" s="39" t="n"/>
      <c r="C324" s="15">
        <f>IF($A324="","",CHOOSE($B324,"JAN","FEV","MAR","ABR","MAI","JUN","JUL","AGO","SET","OUT","NOV","DEZ"))</f>
        <v/>
      </c>
      <c r="D324" s="40">
        <f>IF($A324="","",IFERROR(IF(INDEX('Lançamento'!$B$6:$M$35,MATCH($A324,'Lançamento'!$A$6:$A$35,0),$B324)="","",INDEX('Lançamento'!$B$6:$M$35,MATCH($A324,'Lançamento'!$A$6:$A$35,0),$B324)),""))</f>
        <v/>
      </c>
      <c r="E324" s="12" t="n"/>
      <c r="F324" s="15">
        <f>IF($A324="","",IF(OR($D324="",$E324=""),"Digitar valor do print",IF(ABS($D324-$E324)&lt;=0.001,"✔ Confere","⚠ Divergente")))</f>
        <v/>
      </c>
      <c r="G324" s="39" t="n"/>
      <c r="H324" s="39" t="n"/>
      <c r="I324" s="41" t="n"/>
      <c r="J324" s="39" t="n"/>
    </row>
    <row r="325">
      <c r="A325" s="38" t="n"/>
      <c r="B325" s="39" t="n"/>
      <c r="C325" s="15">
        <f>IF($A325="","",CHOOSE($B325,"JAN","FEV","MAR","ABR","MAI","JUN","JUL","AGO","SET","OUT","NOV","DEZ"))</f>
        <v/>
      </c>
      <c r="D325" s="40">
        <f>IF($A325="","",IFERROR(IF(INDEX('Lançamento'!$B$6:$M$35,MATCH($A325,'Lançamento'!$A$6:$A$35,0),$B325)="","",INDEX('Lançamento'!$B$6:$M$35,MATCH($A325,'Lançamento'!$A$6:$A$35,0),$B325)),""))</f>
        <v/>
      </c>
      <c r="E325" s="12" t="n"/>
      <c r="F325" s="15">
        <f>IF($A325="","",IF(OR($D325="",$E325=""),"Digitar valor do print",IF(ABS($D325-$E325)&lt;=0.001,"✔ Confere","⚠ Divergente")))</f>
        <v/>
      </c>
      <c r="G325" s="39" t="n"/>
      <c r="H325" s="39" t="n"/>
      <c r="I325" s="41" t="n"/>
      <c r="J325" s="39" t="n"/>
    </row>
    <row r="326">
      <c r="A326" s="38" t="n"/>
      <c r="B326" s="39" t="n"/>
      <c r="C326" s="15">
        <f>IF($A326="","",CHOOSE($B326,"JAN","FEV","MAR","ABR","MAI","JUN","JUL","AGO","SET","OUT","NOV","DEZ"))</f>
        <v/>
      </c>
      <c r="D326" s="40">
        <f>IF($A326="","",IFERROR(IF(INDEX('Lançamento'!$B$6:$M$35,MATCH($A326,'Lançamento'!$A$6:$A$35,0),$B326)="","",INDEX('Lançamento'!$B$6:$M$35,MATCH($A326,'Lançamento'!$A$6:$A$35,0),$B326)),""))</f>
        <v/>
      </c>
      <c r="E326" s="12" t="n"/>
      <c r="F326" s="15">
        <f>IF($A326="","",IF(OR($D326="",$E326=""),"Digitar valor do print",IF(ABS($D326-$E326)&lt;=0.001,"✔ Confere","⚠ Divergente")))</f>
        <v/>
      </c>
      <c r="G326" s="39" t="n"/>
      <c r="H326" s="39" t="n"/>
      <c r="I326" s="41" t="n"/>
      <c r="J326" s="39" t="n"/>
    </row>
    <row r="327">
      <c r="A327" s="38" t="n"/>
      <c r="B327" s="39" t="n"/>
      <c r="C327" s="15">
        <f>IF($A327="","",CHOOSE($B327,"JAN","FEV","MAR","ABR","MAI","JUN","JUL","AGO","SET","OUT","NOV","DEZ"))</f>
        <v/>
      </c>
      <c r="D327" s="40">
        <f>IF($A327="","",IFERROR(IF(INDEX('Lançamento'!$B$6:$M$35,MATCH($A327,'Lançamento'!$A$6:$A$35,0),$B327)="","",INDEX('Lançamento'!$B$6:$M$35,MATCH($A327,'Lançamento'!$A$6:$A$35,0),$B327)),""))</f>
        <v/>
      </c>
      <c r="E327" s="12" t="n"/>
      <c r="F327" s="15">
        <f>IF($A327="","",IF(OR($D327="",$E327=""),"Digitar valor do print",IF(ABS($D327-$E327)&lt;=0.001,"✔ Confere","⚠ Divergente")))</f>
        <v/>
      </c>
      <c r="G327" s="39" t="n"/>
      <c r="H327" s="39" t="n"/>
      <c r="I327" s="41" t="n"/>
      <c r="J327" s="39" t="n"/>
    </row>
    <row r="328">
      <c r="A328" s="38" t="n"/>
      <c r="B328" s="39" t="n"/>
      <c r="C328" s="15">
        <f>IF($A328="","",CHOOSE($B328,"JAN","FEV","MAR","ABR","MAI","JUN","JUL","AGO","SET","OUT","NOV","DEZ"))</f>
        <v/>
      </c>
      <c r="D328" s="40">
        <f>IF($A328="","",IFERROR(IF(INDEX('Lançamento'!$B$6:$M$35,MATCH($A328,'Lançamento'!$A$6:$A$35,0),$B328)="","",INDEX('Lançamento'!$B$6:$M$35,MATCH($A328,'Lançamento'!$A$6:$A$35,0),$B328)),""))</f>
        <v/>
      </c>
      <c r="E328" s="12" t="n"/>
      <c r="F328" s="15">
        <f>IF($A328="","",IF(OR($D328="",$E328=""),"Digitar valor do print",IF(ABS($D328-$E328)&lt;=0.001,"✔ Confere","⚠ Divergente")))</f>
        <v/>
      </c>
      <c r="G328" s="39" t="n"/>
      <c r="H328" s="39" t="n"/>
      <c r="I328" s="41" t="n"/>
      <c r="J328" s="39" t="n"/>
    </row>
    <row r="329">
      <c r="A329" s="38" t="n"/>
      <c r="B329" s="39" t="n"/>
      <c r="C329" s="15">
        <f>IF($A329="","",CHOOSE($B329,"JAN","FEV","MAR","ABR","MAI","JUN","JUL","AGO","SET","OUT","NOV","DEZ"))</f>
        <v/>
      </c>
      <c r="D329" s="40">
        <f>IF($A329="","",IFERROR(IF(INDEX('Lançamento'!$B$6:$M$35,MATCH($A329,'Lançamento'!$A$6:$A$35,0),$B329)="","",INDEX('Lançamento'!$B$6:$M$35,MATCH($A329,'Lançamento'!$A$6:$A$35,0),$B329)),""))</f>
        <v/>
      </c>
      <c r="E329" s="12" t="n"/>
      <c r="F329" s="15">
        <f>IF($A329="","",IF(OR($D329="",$E329=""),"Digitar valor do print",IF(ABS($D329-$E329)&lt;=0.001,"✔ Confere","⚠ Divergente")))</f>
        <v/>
      </c>
      <c r="G329" s="39" t="n"/>
      <c r="H329" s="39" t="n"/>
      <c r="I329" s="41" t="n"/>
      <c r="J329" s="39" t="n"/>
    </row>
    <row r="330">
      <c r="A330" s="38" t="n"/>
      <c r="B330" s="39" t="n"/>
      <c r="C330" s="15">
        <f>IF($A330="","",CHOOSE($B330,"JAN","FEV","MAR","ABR","MAI","JUN","JUL","AGO","SET","OUT","NOV","DEZ"))</f>
        <v/>
      </c>
      <c r="D330" s="40">
        <f>IF($A330="","",IFERROR(IF(INDEX('Lançamento'!$B$6:$M$35,MATCH($A330,'Lançamento'!$A$6:$A$35,0),$B330)="","",INDEX('Lançamento'!$B$6:$M$35,MATCH($A330,'Lançamento'!$A$6:$A$35,0),$B330)),""))</f>
        <v/>
      </c>
      <c r="E330" s="12" t="n"/>
      <c r="F330" s="15">
        <f>IF($A330="","",IF(OR($D330="",$E330=""),"Digitar valor do print",IF(ABS($D330-$E330)&lt;=0.001,"✔ Confere","⚠ Divergente")))</f>
        <v/>
      </c>
      <c r="G330" s="39" t="n"/>
      <c r="H330" s="39" t="n"/>
      <c r="I330" s="41" t="n"/>
      <c r="J330" s="39" t="n"/>
    </row>
    <row r="331">
      <c r="A331" s="38" t="n"/>
      <c r="B331" s="39" t="n"/>
      <c r="C331" s="15">
        <f>IF($A331="","",CHOOSE($B331,"JAN","FEV","MAR","ABR","MAI","JUN","JUL","AGO","SET","OUT","NOV","DEZ"))</f>
        <v/>
      </c>
      <c r="D331" s="40">
        <f>IF($A331="","",IFERROR(IF(INDEX('Lançamento'!$B$6:$M$35,MATCH($A331,'Lançamento'!$A$6:$A$35,0),$B331)="","",INDEX('Lançamento'!$B$6:$M$35,MATCH($A331,'Lançamento'!$A$6:$A$35,0),$B331)),""))</f>
        <v/>
      </c>
      <c r="E331" s="12" t="n"/>
      <c r="F331" s="15">
        <f>IF($A331="","",IF(OR($D331="",$E331=""),"Digitar valor do print",IF(ABS($D331-$E331)&lt;=0.001,"✔ Confere","⚠ Divergente")))</f>
        <v/>
      </c>
      <c r="G331" s="39" t="n"/>
      <c r="H331" s="39" t="n"/>
      <c r="I331" s="41" t="n"/>
      <c r="J331" s="39" t="n"/>
    </row>
    <row r="332">
      <c r="A332" s="38" t="n"/>
      <c r="B332" s="39" t="n"/>
      <c r="C332" s="15">
        <f>IF($A332="","",CHOOSE($B332,"JAN","FEV","MAR","ABR","MAI","JUN","JUL","AGO","SET","OUT","NOV","DEZ"))</f>
        <v/>
      </c>
      <c r="D332" s="40">
        <f>IF($A332="","",IFERROR(IF(INDEX('Lançamento'!$B$6:$M$35,MATCH($A332,'Lançamento'!$A$6:$A$35,0),$B332)="","",INDEX('Lançamento'!$B$6:$M$35,MATCH($A332,'Lançamento'!$A$6:$A$35,0),$B332)),""))</f>
        <v/>
      </c>
      <c r="E332" s="12" t="n"/>
      <c r="F332" s="15">
        <f>IF($A332="","",IF(OR($D332="",$E332=""),"Digitar valor do print",IF(ABS($D332-$E332)&lt;=0.001,"✔ Confere","⚠ Divergente")))</f>
        <v/>
      </c>
      <c r="G332" s="39" t="n"/>
      <c r="H332" s="39" t="n"/>
      <c r="I332" s="41" t="n"/>
      <c r="J332" s="39" t="n"/>
    </row>
    <row r="333">
      <c r="A333" s="38" t="n"/>
      <c r="B333" s="39" t="n"/>
      <c r="C333" s="15">
        <f>IF($A333="","",CHOOSE($B333,"JAN","FEV","MAR","ABR","MAI","JUN","JUL","AGO","SET","OUT","NOV","DEZ"))</f>
        <v/>
      </c>
      <c r="D333" s="40">
        <f>IF($A333="","",IFERROR(IF(INDEX('Lançamento'!$B$6:$M$35,MATCH($A333,'Lançamento'!$A$6:$A$35,0),$B333)="","",INDEX('Lançamento'!$B$6:$M$35,MATCH($A333,'Lançamento'!$A$6:$A$35,0),$B333)),""))</f>
        <v/>
      </c>
      <c r="E333" s="12" t="n"/>
      <c r="F333" s="15">
        <f>IF($A333="","",IF(OR($D333="",$E333=""),"Digitar valor do print",IF(ABS($D333-$E333)&lt;=0.001,"✔ Confere","⚠ Divergente")))</f>
        <v/>
      </c>
      <c r="G333" s="39" t="n"/>
      <c r="H333" s="39" t="n"/>
      <c r="I333" s="41" t="n"/>
      <c r="J333" s="39" t="n"/>
    </row>
    <row r="334">
      <c r="A334" s="38" t="n"/>
      <c r="B334" s="39" t="n"/>
      <c r="C334" s="15">
        <f>IF($A334="","",CHOOSE($B334,"JAN","FEV","MAR","ABR","MAI","JUN","JUL","AGO","SET","OUT","NOV","DEZ"))</f>
        <v/>
      </c>
      <c r="D334" s="40">
        <f>IF($A334="","",IFERROR(IF(INDEX('Lançamento'!$B$6:$M$35,MATCH($A334,'Lançamento'!$A$6:$A$35,0),$B334)="","",INDEX('Lançamento'!$B$6:$M$35,MATCH($A334,'Lançamento'!$A$6:$A$35,0),$B334)),""))</f>
        <v/>
      </c>
      <c r="E334" s="12" t="n"/>
      <c r="F334" s="15">
        <f>IF($A334="","",IF(OR($D334="",$E334=""),"Digitar valor do print",IF(ABS($D334-$E334)&lt;=0.001,"✔ Confere","⚠ Divergente")))</f>
        <v/>
      </c>
      <c r="G334" s="39" t="n"/>
      <c r="H334" s="39" t="n"/>
      <c r="I334" s="41" t="n"/>
      <c r="J334" s="39" t="n"/>
    </row>
    <row r="335">
      <c r="A335" s="38" t="n"/>
      <c r="B335" s="39" t="n"/>
      <c r="C335" s="15">
        <f>IF($A335="","",CHOOSE($B335,"JAN","FEV","MAR","ABR","MAI","JUN","JUL","AGO","SET","OUT","NOV","DEZ"))</f>
        <v/>
      </c>
      <c r="D335" s="40">
        <f>IF($A335="","",IFERROR(IF(INDEX('Lançamento'!$B$6:$M$35,MATCH($A335,'Lançamento'!$A$6:$A$35,0),$B335)="","",INDEX('Lançamento'!$B$6:$M$35,MATCH($A335,'Lançamento'!$A$6:$A$35,0),$B335)),""))</f>
        <v/>
      </c>
      <c r="E335" s="12" t="n"/>
      <c r="F335" s="15">
        <f>IF($A335="","",IF(OR($D335="",$E335=""),"Digitar valor do print",IF(ABS($D335-$E335)&lt;=0.001,"✔ Confere","⚠ Divergente")))</f>
        <v/>
      </c>
      <c r="G335" s="39" t="n"/>
      <c r="H335" s="39" t="n"/>
      <c r="I335" s="41" t="n"/>
      <c r="J335" s="39" t="n"/>
    </row>
    <row r="336">
      <c r="A336" s="38" t="n"/>
      <c r="B336" s="39" t="n"/>
      <c r="C336" s="15">
        <f>IF($A336="","",CHOOSE($B336,"JAN","FEV","MAR","ABR","MAI","JUN","JUL","AGO","SET","OUT","NOV","DEZ"))</f>
        <v/>
      </c>
      <c r="D336" s="40">
        <f>IF($A336="","",IFERROR(IF(INDEX('Lançamento'!$B$6:$M$35,MATCH($A336,'Lançamento'!$A$6:$A$35,0),$B336)="","",INDEX('Lançamento'!$B$6:$M$35,MATCH($A336,'Lançamento'!$A$6:$A$35,0),$B336)),""))</f>
        <v/>
      </c>
      <c r="E336" s="12" t="n"/>
      <c r="F336" s="15">
        <f>IF($A336="","",IF(OR($D336="",$E336=""),"Digitar valor do print",IF(ABS($D336-$E336)&lt;=0.001,"✔ Confere","⚠ Divergente")))</f>
        <v/>
      </c>
      <c r="G336" s="39" t="n"/>
      <c r="H336" s="39" t="n"/>
      <c r="I336" s="41" t="n"/>
      <c r="J336" s="39" t="n"/>
    </row>
    <row r="337">
      <c r="A337" s="38" t="n"/>
      <c r="B337" s="39" t="n"/>
      <c r="C337" s="15">
        <f>IF($A337="","",CHOOSE($B337,"JAN","FEV","MAR","ABR","MAI","JUN","JUL","AGO","SET","OUT","NOV","DEZ"))</f>
        <v/>
      </c>
      <c r="D337" s="40">
        <f>IF($A337="","",IFERROR(IF(INDEX('Lançamento'!$B$6:$M$35,MATCH($A337,'Lançamento'!$A$6:$A$35,0),$B337)="","",INDEX('Lançamento'!$B$6:$M$35,MATCH($A337,'Lançamento'!$A$6:$A$35,0),$B337)),""))</f>
        <v/>
      </c>
      <c r="E337" s="12" t="n"/>
      <c r="F337" s="15">
        <f>IF($A337="","",IF(OR($D337="",$E337=""),"Digitar valor do print",IF(ABS($D337-$E337)&lt;=0.001,"✔ Confere","⚠ Divergente")))</f>
        <v/>
      </c>
      <c r="G337" s="39" t="n"/>
      <c r="H337" s="39" t="n"/>
      <c r="I337" s="41" t="n"/>
      <c r="J337" s="39" t="n"/>
    </row>
    <row r="338">
      <c r="A338" s="38" t="n"/>
      <c r="B338" s="39" t="n"/>
      <c r="C338" s="15">
        <f>IF($A338="","",CHOOSE($B338,"JAN","FEV","MAR","ABR","MAI","JUN","JUL","AGO","SET","OUT","NOV","DEZ"))</f>
        <v/>
      </c>
      <c r="D338" s="40">
        <f>IF($A338="","",IFERROR(IF(INDEX('Lançamento'!$B$6:$M$35,MATCH($A338,'Lançamento'!$A$6:$A$35,0),$B338)="","",INDEX('Lançamento'!$B$6:$M$35,MATCH($A338,'Lançamento'!$A$6:$A$35,0),$B338)),""))</f>
        <v/>
      </c>
      <c r="E338" s="12" t="n"/>
      <c r="F338" s="15">
        <f>IF($A338="","",IF(OR($D338="",$E338=""),"Digitar valor do print",IF(ABS($D338-$E338)&lt;=0.001,"✔ Confere","⚠ Divergente")))</f>
        <v/>
      </c>
      <c r="G338" s="39" t="n"/>
      <c r="H338" s="39" t="n"/>
      <c r="I338" s="41" t="n"/>
      <c r="J338" s="39" t="n"/>
    </row>
    <row r="339">
      <c r="A339" s="38" t="n"/>
      <c r="B339" s="39" t="n"/>
      <c r="C339" s="15">
        <f>IF($A339="","",CHOOSE($B339,"JAN","FEV","MAR","ABR","MAI","JUN","JUL","AGO","SET","OUT","NOV","DEZ"))</f>
        <v/>
      </c>
      <c r="D339" s="40">
        <f>IF($A339="","",IFERROR(IF(INDEX('Lançamento'!$B$6:$M$35,MATCH($A339,'Lançamento'!$A$6:$A$35,0),$B339)="","",INDEX('Lançamento'!$B$6:$M$35,MATCH($A339,'Lançamento'!$A$6:$A$35,0),$B339)),""))</f>
        <v/>
      </c>
      <c r="E339" s="12" t="n"/>
      <c r="F339" s="15">
        <f>IF($A339="","",IF(OR($D339="",$E339=""),"Digitar valor do print",IF(ABS($D339-$E339)&lt;=0.001,"✔ Confere","⚠ Divergente")))</f>
        <v/>
      </c>
      <c r="G339" s="39" t="n"/>
      <c r="H339" s="39" t="n"/>
      <c r="I339" s="41" t="n"/>
      <c r="J339" s="39" t="n"/>
    </row>
    <row r="340">
      <c r="A340" s="38" t="n"/>
      <c r="B340" s="39" t="n"/>
      <c r="C340" s="15">
        <f>IF($A340="","",CHOOSE($B340,"JAN","FEV","MAR","ABR","MAI","JUN","JUL","AGO","SET","OUT","NOV","DEZ"))</f>
        <v/>
      </c>
      <c r="D340" s="40">
        <f>IF($A340="","",IFERROR(IF(INDEX('Lançamento'!$B$6:$M$35,MATCH($A340,'Lançamento'!$A$6:$A$35,0),$B340)="","",INDEX('Lançamento'!$B$6:$M$35,MATCH($A340,'Lançamento'!$A$6:$A$35,0),$B340)),""))</f>
        <v/>
      </c>
      <c r="E340" s="12" t="n"/>
      <c r="F340" s="15">
        <f>IF($A340="","",IF(OR($D340="",$E340=""),"Digitar valor do print",IF(ABS($D340-$E340)&lt;=0.001,"✔ Confere","⚠ Divergente")))</f>
        <v/>
      </c>
      <c r="G340" s="39" t="n"/>
      <c r="H340" s="39" t="n"/>
      <c r="I340" s="41" t="n"/>
      <c r="J340" s="39" t="n"/>
    </row>
    <row r="341">
      <c r="A341" s="38" t="n"/>
      <c r="B341" s="39" t="n"/>
      <c r="C341" s="15">
        <f>IF($A341="","",CHOOSE($B341,"JAN","FEV","MAR","ABR","MAI","JUN","JUL","AGO","SET","OUT","NOV","DEZ"))</f>
        <v/>
      </c>
      <c r="D341" s="40">
        <f>IF($A341="","",IFERROR(IF(INDEX('Lançamento'!$B$6:$M$35,MATCH($A341,'Lançamento'!$A$6:$A$35,0),$B341)="","",INDEX('Lançamento'!$B$6:$M$35,MATCH($A341,'Lançamento'!$A$6:$A$35,0),$B341)),""))</f>
        <v/>
      </c>
      <c r="E341" s="12" t="n"/>
      <c r="F341" s="15">
        <f>IF($A341="","",IF(OR($D341="",$E341=""),"Digitar valor do print",IF(ABS($D341-$E341)&lt;=0.001,"✔ Confere","⚠ Divergente")))</f>
        <v/>
      </c>
      <c r="G341" s="39" t="n"/>
      <c r="H341" s="39" t="n"/>
      <c r="I341" s="41" t="n"/>
      <c r="J341" s="39" t="n"/>
    </row>
    <row r="342">
      <c r="A342" s="38" t="n"/>
      <c r="B342" s="39" t="n"/>
      <c r="C342" s="15">
        <f>IF($A342="","",CHOOSE($B342,"JAN","FEV","MAR","ABR","MAI","JUN","JUL","AGO","SET","OUT","NOV","DEZ"))</f>
        <v/>
      </c>
      <c r="D342" s="40">
        <f>IF($A342="","",IFERROR(IF(INDEX('Lançamento'!$B$6:$M$35,MATCH($A342,'Lançamento'!$A$6:$A$35,0),$B342)="","",INDEX('Lançamento'!$B$6:$M$35,MATCH($A342,'Lançamento'!$A$6:$A$35,0),$B342)),""))</f>
        <v/>
      </c>
      <c r="E342" s="12" t="n"/>
      <c r="F342" s="15">
        <f>IF($A342="","",IF(OR($D342="",$E342=""),"Digitar valor do print",IF(ABS($D342-$E342)&lt;=0.001,"✔ Confere","⚠ Divergente")))</f>
        <v/>
      </c>
      <c r="G342" s="39" t="n"/>
      <c r="H342" s="39" t="n"/>
      <c r="I342" s="41" t="n"/>
      <c r="J342" s="39" t="n"/>
    </row>
    <row r="343">
      <c r="A343" s="38" t="n"/>
      <c r="B343" s="39" t="n"/>
      <c r="C343" s="15">
        <f>IF($A343="","",CHOOSE($B343,"JAN","FEV","MAR","ABR","MAI","JUN","JUL","AGO","SET","OUT","NOV","DEZ"))</f>
        <v/>
      </c>
      <c r="D343" s="40">
        <f>IF($A343="","",IFERROR(IF(INDEX('Lançamento'!$B$6:$M$35,MATCH($A343,'Lançamento'!$A$6:$A$35,0),$B343)="","",INDEX('Lançamento'!$B$6:$M$35,MATCH($A343,'Lançamento'!$A$6:$A$35,0),$B343)),""))</f>
        <v/>
      </c>
      <c r="E343" s="12" t="n"/>
      <c r="F343" s="15">
        <f>IF($A343="","",IF(OR($D343="",$E343=""),"Digitar valor do print",IF(ABS($D343-$E343)&lt;=0.001,"✔ Confere","⚠ Divergente")))</f>
        <v/>
      </c>
      <c r="G343" s="39" t="n"/>
      <c r="H343" s="39" t="n"/>
      <c r="I343" s="41" t="n"/>
      <c r="J343" s="39" t="n"/>
    </row>
    <row r="344">
      <c r="A344" s="38" t="n"/>
      <c r="B344" s="39" t="n"/>
      <c r="C344" s="15">
        <f>IF($A344="","",CHOOSE($B344,"JAN","FEV","MAR","ABR","MAI","JUN","JUL","AGO","SET","OUT","NOV","DEZ"))</f>
        <v/>
      </c>
      <c r="D344" s="40">
        <f>IF($A344="","",IFERROR(IF(INDEX('Lançamento'!$B$6:$M$35,MATCH($A344,'Lançamento'!$A$6:$A$35,0),$B344)="","",INDEX('Lançamento'!$B$6:$M$35,MATCH($A344,'Lançamento'!$A$6:$A$35,0),$B344)),""))</f>
        <v/>
      </c>
      <c r="E344" s="12" t="n"/>
      <c r="F344" s="15">
        <f>IF($A344="","",IF(OR($D344="",$E344=""),"Digitar valor do print",IF(ABS($D344-$E344)&lt;=0.001,"✔ Confere","⚠ Divergente")))</f>
        <v/>
      </c>
      <c r="G344" s="39" t="n"/>
      <c r="H344" s="39" t="n"/>
      <c r="I344" s="41" t="n"/>
      <c r="J344" s="39" t="n"/>
    </row>
    <row r="345">
      <c r="A345" s="38" t="n"/>
      <c r="B345" s="39" t="n"/>
      <c r="C345" s="15">
        <f>IF($A345="","",CHOOSE($B345,"JAN","FEV","MAR","ABR","MAI","JUN","JUL","AGO","SET","OUT","NOV","DEZ"))</f>
        <v/>
      </c>
      <c r="D345" s="40">
        <f>IF($A345="","",IFERROR(IF(INDEX('Lançamento'!$B$6:$M$35,MATCH($A345,'Lançamento'!$A$6:$A$35,0),$B345)="","",INDEX('Lançamento'!$B$6:$M$35,MATCH($A345,'Lançamento'!$A$6:$A$35,0),$B345)),""))</f>
        <v/>
      </c>
      <c r="E345" s="12" t="n"/>
      <c r="F345" s="15">
        <f>IF($A345="","",IF(OR($D345="",$E345=""),"Digitar valor do print",IF(ABS($D345-$E345)&lt;=0.001,"✔ Confere","⚠ Divergente")))</f>
        <v/>
      </c>
      <c r="G345" s="39" t="n"/>
      <c r="H345" s="39" t="n"/>
      <c r="I345" s="41" t="n"/>
      <c r="J345" s="39" t="n"/>
    </row>
    <row r="346">
      <c r="A346" s="38" t="n"/>
      <c r="B346" s="39" t="n"/>
      <c r="C346" s="15">
        <f>IF($A346="","",CHOOSE($B346,"JAN","FEV","MAR","ABR","MAI","JUN","JUL","AGO","SET","OUT","NOV","DEZ"))</f>
        <v/>
      </c>
      <c r="D346" s="40">
        <f>IF($A346="","",IFERROR(IF(INDEX('Lançamento'!$B$6:$M$35,MATCH($A346,'Lançamento'!$A$6:$A$35,0),$B346)="","",INDEX('Lançamento'!$B$6:$M$35,MATCH($A346,'Lançamento'!$A$6:$A$35,0),$B346)),""))</f>
        <v/>
      </c>
      <c r="E346" s="12" t="n"/>
      <c r="F346" s="15">
        <f>IF($A346="","",IF(OR($D346="",$E346=""),"Digitar valor do print",IF(ABS($D346-$E346)&lt;=0.001,"✔ Confere","⚠ Divergente")))</f>
        <v/>
      </c>
      <c r="G346" s="39" t="n"/>
      <c r="H346" s="39" t="n"/>
      <c r="I346" s="41" t="n"/>
      <c r="J346" s="39" t="n"/>
    </row>
    <row r="347">
      <c r="A347" s="38" t="n"/>
      <c r="B347" s="39" t="n"/>
      <c r="C347" s="15">
        <f>IF($A347="","",CHOOSE($B347,"JAN","FEV","MAR","ABR","MAI","JUN","JUL","AGO","SET","OUT","NOV","DEZ"))</f>
        <v/>
      </c>
      <c r="D347" s="40">
        <f>IF($A347="","",IFERROR(IF(INDEX('Lançamento'!$B$6:$M$35,MATCH($A347,'Lançamento'!$A$6:$A$35,0),$B347)="","",INDEX('Lançamento'!$B$6:$M$35,MATCH($A347,'Lançamento'!$A$6:$A$35,0),$B347)),""))</f>
        <v/>
      </c>
      <c r="E347" s="12" t="n"/>
      <c r="F347" s="15">
        <f>IF($A347="","",IF(OR($D347="",$E347=""),"Digitar valor do print",IF(ABS($D347-$E347)&lt;=0.001,"✔ Confere","⚠ Divergente")))</f>
        <v/>
      </c>
      <c r="G347" s="39" t="n"/>
      <c r="H347" s="39" t="n"/>
      <c r="I347" s="41" t="n"/>
      <c r="J347" s="39" t="n"/>
    </row>
    <row r="348">
      <c r="A348" s="38" t="n"/>
      <c r="B348" s="39" t="n"/>
      <c r="C348" s="15">
        <f>IF($A348="","",CHOOSE($B348,"JAN","FEV","MAR","ABR","MAI","JUN","JUL","AGO","SET","OUT","NOV","DEZ"))</f>
        <v/>
      </c>
      <c r="D348" s="40">
        <f>IF($A348="","",IFERROR(IF(INDEX('Lançamento'!$B$6:$M$35,MATCH($A348,'Lançamento'!$A$6:$A$35,0),$B348)="","",INDEX('Lançamento'!$B$6:$M$35,MATCH($A348,'Lançamento'!$A$6:$A$35,0),$B348)),""))</f>
        <v/>
      </c>
      <c r="E348" s="12" t="n"/>
      <c r="F348" s="15">
        <f>IF($A348="","",IF(OR($D348="",$E348=""),"Digitar valor do print",IF(ABS($D348-$E348)&lt;=0.001,"✔ Confere","⚠ Divergente")))</f>
        <v/>
      </c>
      <c r="G348" s="39" t="n"/>
      <c r="H348" s="39" t="n"/>
      <c r="I348" s="41" t="n"/>
      <c r="J348" s="39" t="n"/>
    </row>
    <row r="349">
      <c r="A349" s="38" t="n"/>
      <c r="B349" s="39" t="n"/>
      <c r="C349" s="15">
        <f>IF($A349="","",CHOOSE($B349,"JAN","FEV","MAR","ABR","MAI","JUN","JUL","AGO","SET","OUT","NOV","DEZ"))</f>
        <v/>
      </c>
      <c r="D349" s="40">
        <f>IF($A349="","",IFERROR(IF(INDEX('Lançamento'!$B$6:$M$35,MATCH($A349,'Lançamento'!$A$6:$A$35,0),$B349)="","",INDEX('Lançamento'!$B$6:$M$35,MATCH($A349,'Lançamento'!$A$6:$A$35,0),$B349)),""))</f>
        <v/>
      </c>
      <c r="E349" s="12" t="n"/>
      <c r="F349" s="15">
        <f>IF($A349="","",IF(OR($D349="",$E349=""),"Digitar valor do print",IF(ABS($D349-$E349)&lt;=0.001,"✔ Confere","⚠ Divergente")))</f>
        <v/>
      </c>
      <c r="G349" s="39" t="n"/>
      <c r="H349" s="39" t="n"/>
      <c r="I349" s="41" t="n"/>
      <c r="J349" s="39" t="n"/>
    </row>
    <row r="350">
      <c r="A350" s="38" t="n"/>
      <c r="B350" s="39" t="n"/>
      <c r="C350" s="15">
        <f>IF($A350="","",CHOOSE($B350,"JAN","FEV","MAR","ABR","MAI","JUN","JUL","AGO","SET","OUT","NOV","DEZ"))</f>
        <v/>
      </c>
      <c r="D350" s="40">
        <f>IF($A350="","",IFERROR(IF(INDEX('Lançamento'!$B$6:$M$35,MATCH($A350,'Lançamento'!$A$6:$A$35,0),$B350)="","",INDEX('Lançamento'!$B$6:$M$35,MATCH($A350,'Lançamento'!$A$6:$A$35,0),$B350)),""))</f>
        <v/>
      </c>
      <c r="E350" s="12" t="n"/>
      <c r="F350" s="15">
        <f>IF($A350="","",IF(OR($D350="",$E350=""),"Digitar valor do print",IF(ABS($D350-$E350)&lt;=0.001,"✔ Confere","⚠ Divergente")))</f>
        <v/>
      </c>
      <c r="G350" s="39" t="n"/>
      <c r="H350" s="39" t="n"/>
      <c r="I350" s="41" t="n"/>
      <c r="J350" s="39" t="n"/>
    </row>
    <row r="351">
      <c r="A351" s="38" t="n"/>
      <c r="B351" s="39" t="n"/>
      <c r="C351" s="15">
        <f>IF($A351="","",CHOOSE($B351,"JAN","FEV","MAR","ABR","MAI","JUN","JUL","AGO","SET","OUT","NOV","DEZ"))</f>
        <v/>
      </c>
      <c r="D351" s="40">
        <f>IF($A351="","",IFERROR(IF(INDEX('Lançamento'!$B$6:$M$35,MATCH($A351,'Lançamento'!$A$6:$A$35,0),$B351)="","",INDEX('Lançamento'!$B$6:$M$35,MATCH($A351,'Lançamento'!$A$6:$A$35,0),$B351)),""))</f>
        <v/>
      </c>
      <c r="E351" s="12" t="n"/>
      <c r="F351" s="15">
        <f>IF($A351="","",IF(OR($D351="",$E351=""),"Digitar valor do print",IF(ABS($D351-$E351)&lt;=0.001,"✔ Confere","⚠ Divergente")))</f>
        <v/>
      </c>
      <c r="G351" s="39" t="n"/>
      <c r="H351" s="39" t="n"/>
      <c r="I351" s="41" t="n"/>
      <c r="J351" s="39" t="n"/>
    </row>
    <row r="352">
      <c r="A352" s="38" t="n"/>
      <c r="B352" s="39" t="n"/>
      <c r="C352" s="15">
        <f>IF($A352="","",CHOOSE($B352,"JAN","FEV","MAR","ABR","MAI","JUN","JUL","AGO","SET","OUT","NOV","DEZ"))</f>
        <v/>
      </c>
      <c r="D352" s="40">
        <f>IF($A352="","",IFERROR(IF(INDEX('Lançamento'!$B$6:$M$35,MATCH($A352,'Lançamento'!$A$6:$A$35,0),$B352)="","",INDEX('Lançamento'!$B$6:$M$35,MATCH($A352,'Lançamento'!$A$6:$A$35,0),$B352)),""))</f>
        <v/>
      </c>
      <c r="E352" s="12" t="n"/>
      <c r="F352" s="15">
        <f>IF($A352="","",IF(OR($D352="",$E352=""),"Digitar valor do print",IF(ABS($D352-$E352)&lt;=0.001,"✔ Confere","⚠ Divergente")))</f>
        <v/>
      </c>
      <c r="G352" s="39" t="n"/>
      <c r="H352" s="39" t="n"/>
      <c r="I352" s="41" t="n"/>
      <c r="J352" s="39" t="n"/>
    </row>
    <row r="353">
      <c r="A353" s="38" t="n"/>
      <c r="B353" s="39" t="n"/>
      <c r="C353" s="15">
        <f>IF($A353="","",CHOOSE($B353,"JAN","FEV","MAR","ABR","MAI","JUN","JUL","AGO","SET","OUT","NOV","DEZ"))</f>
        <v/>
      </c>
      <c r="D353" s="40">
        <f>IF($A353="","",IFERROR(IF(INDEX('Lançamento'!$B$6:$M$35,MATCH($A353,'Lançamento'!$A$6:$A$35,0),$B353)="","",INDEX('Lançamento'!$B$6:$M$35,MATCH($A353,'Lançamento'!$A$6:$A$35,0),$B353)),""))</f>
        <v/>
      </c>
      <c r="E353" s="12" t="n"/>
      <c r="F353" s="15">
        <f>IF($A353="","",IF(OR($D353="",$E353=""),"Digitar valor do print",IF(ABS($D353-$E353)&lt;=0.001,"✔ Confere","⚠ Divergente")))</f>
        <v/>
      </c>
      <c r="G353" s="39" t="n"/>
      <c r="H353" s="39" t="n"/>
      <c r="I353" s="41" t="n"/>
      <c r="J353" s="39" t="n"/>
    </row>
    <row r="354">
      <c r="A354" s="38" t="n"/>
      <c r="B354" s="39" t="n"/>
      <c r="C354" s="15">
        <f>IF($A354="","",CHOOSE($B354,"JAN","FEV","MAR","ABR","MAI","JUN","JUL","AGO","SET","OUT","NOV","DEZ"))</f>
        <v/>
      </c>
      <c r="D354" s="40">
        <f>IF($A354="","",IFERROR(IF(INDEX('Lançamento'!$B$6:$M$35,MATCH($A354,'Lançamento'!$A$6:$A$35,0),$B354)="","",INDEX('Lançamento'!$B$6:$M$35,MATCH($A354,'Lançamento'!$A$6:$A$35,0),$B354)),""))</f>
        <v/>
      </c>
      <c r="E354" s="12" t="n"/>
      <c r="F354" s="15">
        <f>IF($A354="","",IF(OR($D354="",$E354=""),"Digitar valor do print",IF(ABS($D354-$E354)&lt;=0.001,"✔ Confere","⚠ Divergente")))</f>
        <v/>
      </c>
      <c r="G354" s="39" t="n"/>
      <c r="H354" s="39" t="n"/>
      <c r="I354" s="41" t="n"/>
      <c r="J354" s="39" t="n"/>
    </row>
    <row r="355">
      <c r="A355" s="38" t="n"/>
      <c r="B355" s="39" t="n"/>
      <c r="C355" s="15">
        <f>IF($A355="","",CHOOSE($B355,"JAN","FEV","MAR","ABR","MAI","JUN","JUL","AGO","SET","OUT","NOV","DEZ"))</f>
        <v/>
      </c>
      <c r="D355" s="40">
        <f>IF($A355="","",IFERROR(IF(INDEX('Lançamento'!$B$6:$M$35,MATCH($A355,'Lançamento'!$A$6:$A$35,0),$B355)="","",INDEX('Lançamento'!$B$6:$M$35,MATCH($A355,'Lançamento'!$A$6:$A$35,0),$B355)),""))</f>
        <v/>
      </c>
      <c r="E355" s="12" t="n"/>
      <c r="F355" s="15">
        <f>IF($A355="","",IF(OR($D355="",$E355=""),"Digitar valor do print",IF(ABS($D355-$E355)&lt;=0.001,"✔ Confere","⚠ Divergente")))</f>
        <v/>
      </c>
      <c r="G355" s="39" t="n"/>
      <c r="H355" s="39" t="n"/>
      <c r="I355" s="41" t="n"/>
      <c r="J355" s="39" t="n"/>
    </row>
    <row r="356">
      <c r="A356" s="38" t="n"/>
      <c r="B356" s="39" t="n"/>
      <c r="C356" s="15">
        <f>IF($A356="","",CHOOSE($B356,"JAN","FEV","MAR","ABR","MAI","JUN","JUL","AGO","SET","OUT","NOV","DEZ"))</f>
        <v/>
      </c>
      <c r="D356" s="40">
        <f>IF($A356="","",IFERROR(IF(INDEX('Lançamento'!$B$6:$M$35,MATCH($A356,'Lançamento'!$A$6:$A$35,0),$B356)="","",INDEX('Lançamento'!$B$6:$M$35,MATCH($A356,'Lançamento'!$A$6:$A$35,0),$B356)),""))</f>
        <v/>
      </c>
      <c r="E356" s="12" t="n"/>
      <c r="F356" s="15">
        <f>IF($A356="","",IF(OR($D356="",$E356=""),"Digitar valor do print",IF(ABS($D356-$E356)&lt;=0.001,"✔ Confere","⚠ Divergente")))</f>
        <v/>
      </c>
      <c r="G356" s="39" t="n"/>
      <c r="H356" s="39" t="n"/>
      <c r="I356" s="41" t="n"/>
      <c r="J356" s="39" t="n"/>
    </row>
    <row r="357">
      <c r="A357" s="38" t="n"/>
      <c r="B357" s="39" t="n"/>
      <c r="C357" s="15">
        <f>IF($A357="","",CHOOSE($B357,"JAN","FEV","MAR","ABR","MAI","JUN","JUL","AGO","SET","OUT","NOV","DEZ"))</f>
        <v/>
      </c>
      <c r="D357" s="40">
        <f>IF($A357="","",IFERROR(IF(INDEX('Lançamento'!$B$6:$M$35,MATCH($A357,'Lançamento'!$A$6:$A$35,0),$B357)="","",INDEX('Lançamento'!$B$6:$M$35,MATCH($A357,'Lançamento'!$A$6:$A$35,0),$B357)),""))</f>
        <v/>
      </c>
      <c r="E357" s="12" t="n"/>
      <c r="F357" s="15">
        <f>IF($A357="","",IF(OR($D357="",$E357=""),"Digitar valor do print",IF(ABS($D357-$E357)&lt;=0.001,"✔ Confere","⚠ Divergente")))</f>
        <v/>
      </c>
      <c r="G357" s="39" t="n"/>
      <c r="H357" s="39" t="n"/>
      <c r="I357" s="41" t="n"/>
      <c r="J357" s="39" t="n"/>
    </row>
    <row r="358">
      <c r="A358" s="38" t="n"/>
      <c r="B358" s="39" t="n"/>
      <c r="C358" s="15">
        <f>IF($A358="","",CHOOSE($B358,"JAN","FEV","MAR","ABR","MAI","JUN","JUL","AGO","SET","OUT","NOV","DEZ"))</f>
        <v/>
      </c>
      <c r="D358" s="40">
        <f>IF($A358="","",IFERROR(IF(INDEX('Lançamento'!$B$6:$M$35,MATCH($A358,'Lançamento'!$A$6:$A$35,0),$B358)="","",INDEX('Lançamento'!$B$6:$M$35,MATCH($A358,'Lançamento'!$A$6:$A$35,0),$B358)),""))</f>
        <v/>
      </c>
      <c r="E358" s="12" t="n"/>
      <c r="F358" s="15">
        <f>IF($A358="","",IF(OR($D358="",$E358=""),"Digitar valor do print",IF(ABS($D358-$E358)&lt;=0.001,"✔ Confere","⚠ Divergente")))</f>
        <v/>
      </c>
      <c r="G358" s="39" t="n"/>
      <c r="H358" s="39" t="n"/>
      <c r="I358" s="41" t="n"/>
      <c r="J358" s="39" t="n"/>
    </row>
    <row r="359">
      <c r="A359" s="38" t="n"/>
      <c r="B359" s="39" t="n"/>
      <c r="C359" s="15">
        <f>IF($A359="","",CHOOSE($B359,"JAN","FEV","MAR","ABR","MAI","JUN","JUL","AGO","SET","OUT","NOV","DEZ"))</f>
        <v/>
      </c>
      <c r="D359" s="40">
        <f>IF($A359="","",IFERROR(IF(INDEX('Lançamento'!$B$6:$M$35,MATCH($A359,'Lançamento'!$A$6:$A$35,0),$B359)="","",INDEX('Lançamento'!$B$6:$M$35,MATCH($A359,'Lançamento'!$A$6:$A$35,0),$B359)),""))</f>
        <v/>
      </c>
      <c r="E359" s="12" t="n"/>
      <c r="F359" s="15">
        <f>IF($A359="","",IF(OR($D359="",$E359=""),"Digitar valor do print",IF(ABS($D359-$E359)&lt;=0.001,"✔ Confere","⚠ Divergente")))</f>
        <v/>
      </c>
      <c r="G359" s="39" t="n"/>
      <c r="H359" s="39" t="n"/>
      <c r="I359" s="41" t="n"/>
      <c r="J359" s="39" t="n"/>
    </row>
    <row r="360">
      <c r="A360" s="38" t="n"/>
      <c r="B360" s="39" t="n"/>
      <c r="C360" s="15">
        <f>IF($A360="","",CHOOSE($B360,"JAN","FEV","MAR","ABR","MAI","JUN","JUL","AGO","SET","OUT","NOV","DEZ"))</f>
        <v/>
      </c>
      <c r="D360" s="40">
        <f>IF($A360="","",IFERROR(IF(INDEX('Lançamento'!$B$6:$M$35,MATCH($A360,'Lançamento'!$A$6:$A$35,0),$B360)="","",INDEX('Lançamento'!$B$6:$M$35,MATCH($A360,'Lançamento'!$A$6:$A$35,0),$B360)),""))</f>
        <v/>
      </c>
      <c r="E360" s="12" t="n"/>
      <c r="F360" s="15">
        <f>IF($A360="","",IF(OR($D360="",$E360=""),"Digitar valor do print",IF(ABS($D360-$E360)&lt;=0.001,"✔ Confere","⚠ Divergente")))</f>
        <v/>
      </c>
      <c r="G360" s="39" t="n"/>
      <c r="H360" s="39" t="n"/>
      <c r="I360" s="41" t="n"/>
      <c r="J360" s="39" t="n"/>
    </row>
    <row r="361">
      <c r="A361" s="38" t="n"/>
      <c r="B361" s="39" t="n"/>
      <c r="C361" s="15">
        <f>IF($A361="","",CHOOSE($B361,"JAN","FEV","MAR","ABR","MAI","JUN","JUL","AGO","SET","OUT","NOV","DEZ"))</f>
        <v/>
      </c>
      <c r="D361" s="40">
        <f>IF($A361="","",IFERROR(IF(INDEX('Lançamento'!$B$6:$M$35,MATCH($A361,'Lançamento'!$A$6:$A$35,0),$B361)="","",INDEX('Lançamento'!$B$6:$M$35,MATCH($A361,'Lançamento'!$A$6:$A$35,0),$B361)),""))</f>
        <v/>
      </c>
      <c r="E361" s="12" t="n"/>
      <c r="F361" s="15">
        <f>IF($A361="","",IF(OR($D361="",$E361=""),"Digitar valor do print",IF(ABS($D361-$E361)&lt;=0.001,"✔ Confere","⚠ Divergente")))</f>
        <v/>
      </c>
      <c r="G361" s="39" t="n"/>
      <c r="H361" s="39" t="n"/>
      <c r="I361" s="41" t="n"/>
      <c r="J361" s="39" t="n"/>
    </row>
    <row r="362">
      <c r="A362" s="38" t="n"/>
      <c r="B362" s="39" t="n"/>
      <c r="C362" s="15">
        <f>IF($A362="","",CHOOSE($B362,"JAN","FEV","MAR","ABR","MAI","JUN","JUL","AGO","SET","OUT","NOV","DEZ"))</f>
        <v/>
      </c>
      <c r="D362" s="40">
        <f>IF($A362="","",IFERROR(IF(INDEX('Lançamento'!$B$6:$M$35,MATCH($A362,'Lançamento'!$A$6:$A$35,0),$B362)="","",INDEX('Lançamento'!$B$6:$M$35,MATCH($A362,'Lançamento'!$A$6:$A$35,0),$B362)),""))</f>
        <v/>
      </c>
      <c r="E362" s="12" t="n"/>
      <c r="F362" s="15">
        <f>IF($A362="","",IF(OR($D362="",$E362=""),"Digitar valor do print",IF(ABS($D362-$E362)&lt;=0.001,"✔ Confere","⚠ Divergente")))</f>
        <v/>
      </c>
      <c r="G362" s="39" t="n"/>
      <c r="H362" s="39" t="n"/>
      <c r="I362" s="41" t="n"/>
      <c r="J362" s="39" t="n"/>
    </row>
    <row r="363">
      <c r="A363" s="38" t="n"/>
      <c r="B363" s="39" t="n"/>
      <c r="C363" s="15">
        <f>IF($A363="","",CHOOSE($B363,"JAN","FEV","MAR","ABR","MAI","JUN","JUL","AGO","SET","OUT","NOV","DEZ"))</f>
        <v/>
      </c>
      <c r="D363" s="40">
        <f>IF($A363="","",IFERROR(IF(INDEX('Lançamento'!$B$6:$M$35,MATCH($A363,'Lançamento'!$A$6:$A$35,0),$B363)="","",INDEX('Lançamento'!$B$6:$M$35,MATCH($A363,'Lançamento'!$A$6:$A$35,0),$B363)),""))</f>
        <v/>
      </c>
      <c r="E363" s="12" t="n"/>
      <c r="F363" s="15">
        <f>IF($A363="","",IF(OR($D363="",$E363=""),"Digitar valor do print",IF(ABS($D363-$E363)&lt;=0.001,"✔ Confere","⚠ Divergente")))</f>
        <v/>
      </c>
      <c r="G363" s="39" t="n"/>
      <c r="H363" s="39" t="n"/>
      <c r="I363" s="41" t="n"/>
      <c r="J363" s="39" t="n"/>
    </row>
    <row r="364">
      <c r="A364" s="38" t="n"/>
      <c r="B364" s="39" t="n"/>
      <c r="C364" s="15">
        <f>IF($A364="","",CHOOSE($B364,"JAN","FEV","MAR","ABR","MAI","JUN","JUL","AGO","SET","OUT","NOV","DEZ"))</f>
        <v/>
      </c>
      <c r="D364" s="40">
        <f>IF($A364="","",IFERROR(IF(INDEX('Lançamento'!$B$6:$M$35,MATCH($A364,'Lançamento'!$A$6:$A$35,0),$B364)="","",INDEX('Lançamento'!$B$6:$M$35,MATCH($A364,'Lançamento'!$A$6:$A$35,0),$B364)),""))</f>
        <v/>
      </c>
      <c r="E364" s="12" t="n"/>
      <c r="F364" s="15">
        <f>IF($A364="","",IF(OR($D364="",$E364=""),"Digitar valor do print",IF(ABS($D364-$E364)&lt;=0.001,"✔ Confere","⚠ Divergente")))</f>
        <v/>
      </c>
      <c r="G364" s="39" t="n"/>
      <c r="H364" s="39" t="n"/>
      <c r="I364" s="41" t="n"/>
      <c r="J364" s="39" t="n"/>
    </row>
    <row r="365">
      <c r="A365" s="38" t="n"/>
      <c r="B365" s="39" t="n"/>
      <c r="C365" s="15">
        <f>IF($A365="","",CHOOSE($B365,"JAN","FEV","MAR","ABR","MAI","JUN","JUL","AGO","SET","OUT","NOV","DEZ"))</f>
        <v/>
      </c>
      <c r="D365" s="40">
        <f>IF($A365="","",IFERROR(IF(INDEX('Lançamento'!$B$6:$M$35,MATCH($A365,'Lançamento'!$A$6:$A$35,0),$B365)="","",INDEX('Lançamento'!$B$6:$M$35,MATCH($A365,'Lançamento'!$A$6:$A$35,0),$B365)),""))</f>
        <v/>
      </c>
      <c r="E365" s="12" t="n"/>
      <c r="F365" s="15">
        <f>IF($A365="","",IF(OR($D365="",$E365=""),"Digitar valor do print",IF(ABS($D365-$E365)&lt;=0.001,"✔ Confere","⚠ Divergente")))</f>
        <v/>
      </c>
      <c r="G365" s="39" t="n"/>
      <c r="H365" s="39" t="n"/>
      <c r="I365" s="41" t="n"/>
      <c r="J365" s="39" t="n"/>
    </row>
    <row r="366">
      <c r="A366" s="38" t="n"/>
      <c r="B366" s="39" t="n"/>
      <c r="C366" s="15">
        <f>IF($A366="","",CHOOSE($B366,"JAN","FEV","MAR","ABR","MAI","JUN","JUL","AGO","SET","OUT","NOV","DEZ"))</f>
        <v/>
      </c>
      <c r="D366" s="40">
        <f>IF($A366="","",IFERROR(IF(INDEX('Lançamento'!$B$6:$M$35,MATCH($A366,'Lançamento'!$A$6:$A$35,0),$B366)="","",INDEX('Lançamento'!$B$6:$M$35,MATCH($A366,'Lançamento'!$A$6:$A$35,0),$B366)),""))</f>
        <v/>
      </c>
      <c r="E366" s="12" t="n"/>
      <c r="F366" s="15">
        <f>IF($A366="","",IF(OR($D366="",$E366=""),"Digitar valor do print",IF(ABS($D366-$E366)&lt;=0.001,"✔ Confere","⚠ Divergente")))</f>
        <v/>
      </c>
      <c r="G366" s="39" t="n"/>
      <c r="H366" s="39" t="n"/>
      <c r="I366" s="41" t="n"/>
      <c r="J366" s="39" t="n"/>
    </row>
    <row r="367">
      <c r="A367" s="38" t="n"/>
      <c r="B367" s="39" t="n"/>
      <c r="C367" s="15">
        <f>IF($A367="","",CHOOSE($B367,"JAN","FEV","MAR","ABR","MAI","JUN","JUL","AGO","SET","OUT","NOV","DEZ"))</f>
        <v/>
      </c>
      <c r="D367" s="40">
        <f>IF($A367="","",IFERROR(IF(INDEX('Lançamento'!$B$6:$M$35,MATCH($A367,'Lançamento'!$A$6:$A$35,0),$B367)="","",INDEX('Lançamento'!$B$6:$M$35,MATCH($A367,'Lançamento'!$A$6:$A$35,0),$B367)),""))</f>
        <v/>
      </c>
      <c r="E367" s="12" t="n"/>
      <c r="F367" s="15">
        <f>IF($A367="","",IF(OR($D367="",$E367=""),"Digitar valor do print",IF(ABS($D367-$E367)&lt;=0.001,"✔ Confere","⚠ Divergente")))</f>
        <v/>
      </c>
      <c r="G367" s="39" t="n"/>
      <c r="H367" s="39" t="n"/>
      <c r="I367" s="41" t="n"/>
      <c r="J367" s="39" t="n"/>
    </row>
    <row r="368">
      <c r="A368" s="38" t="n"/>
      <c r="B368" s="39" t="n"/>
      <c r="C368" s="15">
        <f>IF($A368="","",CHOOSE($B368,"JAN","FEV","MAR","ABR","MAI","JUN","JUL","AGO","SET","OUT","NOV","DEZ"))</f>
        <v/>
      </c>
      <c r="D368" s="40">
        <f>IF($A368="","",IFERROR(IF(INDEX('Lançamento'!$B$6:$M$35,MATCH($A368,'Lançamento'!$A$6:$A$35,0),$B368)="","",INDEX('Lançamento'!$B$6:$M$35,MATCH($A368,'Lançamento'!$A$6:$A$35,0),$B368)),""))</f>
        <v/>
      </c>
      <c r="E368" s="12" t="n"/>
      <c r="F368" s="15">
        <f>IF($A368="","",IF(OR($D368="",$E368=""),"Digitar valor do print",IF(ABS($D368-$E368)&lt;=0.001,"✔ Confere","⚠ Divergente")))</f>
        <v/>
      </c>
      <c r="G368" s="39" t="n"/>
      <c r="H368" s="39" t="n"/>
      <c r="I368" s="41" t="n"/>
      <c r="J368" s="39" t="n"/>
    </row>
    <row r="369">
      <c r="A369" s="38" t="n"/>
      <c r="B369" s="39" t="n"/>
      <c r="C369" s="15">
        <f>IF($A369="","",CHOOSE($B369,"JAN","FEV","MAR","ABR","MAI","JUN","JUL","AGO","SET","OUT","NOV","DEZ"))</f>
        <v/>
      </c>
      <c r="D369" s="40">
        <f>IF($A369="","",IFERROR(IF(INDEX('Lançamento'!$B$6:$M$35,MATCH($A369,'Lançamento'!$A$6:$A$35,0),$B369)="","",INDEX('Lançamento'!$B$6:$M$35,MATCH($A369,'Lançamento'!$A$6:$A$35,0),$B369)),""))</f>
        <v/>
      </c>
      <c r="E369" s="12" t="n"/>
      <c r="F369" s="15">
        <f>IF($A369="","",IF(OR($D369="",$E369=""),"Digitar valor do print",IF(ABS($D369-$E369)&lt;=0.001,"✔ Confere","⚠ Divergente")))</f>
        <v/>
      </c>
      <c r="G369" s="39" t="n"/>
      <c r="H369" s="39" t="n"/>
      <c r="I369" s="41" t="n"/>
      <c r="J369" s="39" t="n"/>
    </row>
    <row r="370">
      <c r="A370" s="38" t="n"/>
      <c r="B370" s="39" t="n"/>
      <c r="C370" s="15">
        <f>IF($A370="","",CHOOSE($B370,"JAN","FEV","MAR","ABR","MAI","JUN","JUL","AGO","SET","OUT","NOV","DEZ"))</f>
        <v/>
      </c>
      <c r="D370" s="40">
        <f>IF($A370="","",IFERROR(IF(INDEX('Lançamento'!$B$6:$M$35,MATCH($A370,'Lançamento'!$A$6:$A$35,0),$B370)="","",INDEX('Lançamento'!$B$6:$M$35,MATCH($A370,'Lançamento'!$A$6:$A$35,0),$B370)),""))</f>
        <v/>
      </c>
      <c r="E370" s="12" t="n"/>
      <c r="F370" s="15">
        <f>IF($A370="","",IF(OR($D370="",$E370=""),"Digitar valor do print",IF(ABS($D370-$E370)&lt;=0.001,"✔ Confere","⚠ Divergente")))</f>
        <v/>
      </c>
      <c r="G370" s="39" t="n"/>
      <c r="H370" s="39" t="n"/>
      <c r="I370" s="41" t="n"/>
      <c r="J370" s="39" t="n"/>
    </row>
    <row r="371">
      <c r="A371" s="38" t="n"/>
      <c r="B371" s="39" t="n"/>
      <c r="C371" s="15">
        <f>IF($A371="","",CHOOSE($B371,"JAN","FEV","MAR","ABR","MAI","JUN","JUL","AGO","SET","OUT","NOV","DEZ"))</f>
        <v/>
      </c>
      <c r="D371" s="40">
        <f>IF($A371="","",IFERROR(IF(INDEX('Lançamento'!$B$6:$M$35,MATCH($A371,'Lançamento'!$A$6:$A$35,0),$B371)="","",INDEX('Lançamento'!$B$6:$M$35,MATCH($A371,'Lançamento'!$A$6:$A$35,0),$B371)),""))</f>
        <v/>
      </c>
      <c r="E371" s="12" t="n"/>
      <c r="F371" s="15">
        <f>IF($A371="","",IF(OR($D371="",$E371=""),"Digitar valor do print",IF(ABS($D371-$E371)&lt;=0.001,"✔ Confere","⚠ Divergente")))</f>
        <v/>
      </c>
      <c r="G371" s="39" t="n"/>
      <c r="H371" s="39" t="n"/>
      <c r="I371" s="41" t="n"/>
      <c r="J371" s="39" t="n"/>
    </row>
    <row r="372">
      <c r="A372" s="38" t="n"/>
      <c r="B372" s="39" t="n"/>
      <c r="C372" s="15">
        <f>IF($A372="","",CHOOSE($B372,"JAN","FEV","MAR","ABR","MAI","JUN","JUL","AGO","SET","OUT","NOV","DEZ"))</f>
        <v/>
      </c>
      <c r="D372" s="40">
        <f>IF($A372="","",IFERROR(IF(INDEX('Lançamento'!$B$6:$M$35,MATCH($A372,'Lançamento'!$A$6:$A$35,0),$B372)="","",INDEX('Lançamento'!$B$6:$M$35,MATCH($A372,'Lançamento'!$A$6:$A$35,0),$B372)),""))</f>
        <v/>
      </c>
      <c r="E372" s="12" t="n"/>
      <c r="F372" s="15">
        <f>IF($A372="","",IF(OR($D372="",$E372=""),"Digitar valor do print",IF(ABS($D372-$E372)&lt;=0.001,"✔ Confere","⚠ Divergente")))</f>
        <v/>
      </c>
      <c r="G372" s="39" t="n"/>
      <c r="H372" s="39" t="n"/>
      <c r="I372" s="41" t="n"/>
      <c r="J372" s="39" t="n"/>
    </row>
    <row r="373">
      <c r="A373" s="38" t="n"/>
      <c r="B373" s="39" t="n"/>
      <c r="C373" s="15">
        <f>IF($A373="","",CHOOSE($B373,"JAN","FEV","MAR","ABR","MAI","JUN","JUL","AGO","SET","OUT","NOV","DEZ"))</f>
        <v/>
      </c>
      <c r="D373" s="40">
        <f>IF($A373="","",IFERROR(IF(INDEX('Lançamento'!$B$6:$M$35,MATCH($A373,'Lançamento'!$A$6:$A$35,0),$B373)="","",INDEX('Lançamento'!$B$6:$M$35,MATCH($A373,'Lançamento'!$A$6:$A$35,0),$B373)),""))</f>
        <v/>
      </c>
      <c r="E373" s="12" t="n"/>
      <c r="F373" s="15">
        <f>IF($A373="","",IF(OR($D373="",$E373=""),"Digitar valor do print",IF(ABS($D373-$E373)&lt;=0.001,"✔ Confere","⚠ Divergente")))</f>
        <v/>
      </c>
      <c r="G373" s="39" t="n"/>
      <c r="H373" s="39" t="n"/>
      <c r="I373" s="41" t="n"/>
      <c r="J373" s="39" t="n"/>
    </row>
    <row r="374">
      <c r="A374" s="38" t="n"/>
      <c r="B374" s="39" t="n"/>
      <c r="C374" s="15">
        <f>IF($A374="","",CHOOSE($B374,"JAN","FEV","MAR","ABR","MAI","JUN","JUL","AGO","SET","OUT","NOV","DEZ"))</f>
        <v/>
      </c>
      <c r="D374" s="40">
        <f>IF($A374="","",IFERROR(IF(INDEX('Lançamento'!$B$6:$M$35,MATCH($A374,'Lançamento'!$A$6:$A$35,0),$B374)="","",INDEX('Lançamento'!$B$6:$M$35,MATCH($A374,'Lançamento'!$A$6:$A$35,0),$B374)),""))</f>
        <v/>
      </c>
      <c r="E374" s="12" t="n"/>
      <c r="F374" s="15">
        <f>IF($A374="","",IF(OR($D374="",$E374=""),"Digitar valor do print",IF(ABS($D374-$E374)&lt;=0.001,"✔ Confere","⚠ Divergente")))</f>
        <v/>
      </c>
      <c r="G374" s="39" t="n"/>
      <c r="H374" s="39" t="n"/>
      <c r="I374" s="41" t="n"/>
      <c r="J374" s="39" t="n"/>
    </row>
    <row r="375">
      <c r="A375" s="38" t="n"/>
      <c r="B375" s="39" t="n"/>
      <c r="C375" s="15">
        <f>IF($A375="","",CHOOSE($B375,"JAN","FEV","MAR","ABR","MAI","JUN","JUL","AGO","SET","OUT","NOV","DEZ"))</f>
        <v/>
      </c>
      <c r="D375" s="40">
        <f>IF($A375="","",IFERROR(IF(INDEX('Lançamento'!$B$6:$M$35,MATCH($A375,'Lançamento'!$A$6:$A$35,0),$B375)="","",INDEX('Lançamento'!$B$6:$M$35,MATCH($A375,'Lançamento'!$A$6:$A$35,0),$B375)),""))</f>
        <v/>
      </c>
      <c r="E375" s="12" t="n"/>
      <c r="F375" s="15">
        <f>IF($A375="","",IF(OR($D375="",$E375=""),"Digitar valor do print",IF(ABS($D375-$E375)&lt;=0.001,"✔ Confere","⚠ Divergente")))</f>
        <v/>
      </c>
      <c r="G375" s="39" t="n"/>
      <c r="H375" s="39" t="n"/>
      <c r="I375" s="41" t="n"/>
      <c r="J375" s="39" t="n"/>
    </row>
    <row r="376">
      <c r="A376" s="38" t="n"/>
      <c r="B376" s="39" t="n"/>
      <c r="C376" s="15">
        <f>IF($A376="","",CHOOSE($B376,"JAN","FEV","MAR","ABR","MAI","JUN","JUL","AGO","SET","OUT","NOV","DEZ"))</f>
        <v/>
      </c>
      <c r="D376" s="40">
        <f>IF($A376="","",IFERROR(IF(INDEX('Lançamento'!$B$6:$M$35,MATCH($A376,'Lançamento'!$A$6:$A$35,0),$B376)="","",INDEX('Lançamento'!$B$6:$M$35,MATCH($A376,'Lançamento'!$A$6:$A$35,0),$B376)),""))</f>
        <v/>
      </c>
      <c r="E376" s="12" t="n"/>
      <c r="F376" s="15">
        <f>IF($A376="","",IF(OR($D376="",$E376=""),"Digitar valor do print",IF(ABS($D376-$E376)&lt;=0.001,"✔ Confere","⚠ Divergente")))</f>
        <v/>
      </c>
      <c r="G376" s="39" t="n"/>
      <c r="H376" s="39" t="n"/>
      <c r="I376" s="41" t="n"/>
      <c r="J376" s="39" t="n"/>
    </row>
    <row r="377">
      <c r="A377" s="38" t="n"/>
      <c r="B377" s="39" t="n"/>
      <c r="C377" s="15">
        <f>IF($A377="","",CHOOSE($B377,"JAN","FEV","MAR","ABR","MAI","JUN","JUL","AGO","SET","OUT","NOV","DEZ"))</f>
        <v/>
      </c>
      <c r="D377" s="40">
        <f>IF($A377="","",IFERROR(IF(INDEX('Lançamento'!$B$6:$M$35,MATCH($A377,'Lançamento'!$A$6:$A$35,0),$B377)="","",INDEX('Lançamento'!$B$6:$M$35,MATCH($A377,'Lançamento'!$A$6:$A$35,0),$B377)),""))</f>
        <v/>
      </c>
      <c r="E377" s="12" t="n"/>
      <c r="F377" s="15">
        <f>IF($A377="","",IF(OR($D377="",$E377=""),"Digitar valor do print",IF(ABS($D377-$E377)&lt;=0.001,"✔ Confere","⚠ Divergente")))</f>
        <v/>
      </c>
      <c r="G377" s="39" t="n"/>
      <c r="H377" s="39" t="n"/>
      <c r="I377" s="41" t="n"/>
      <c r="J377" s="39" t="n"/>
    </row>
    <row r="378">
      <c r="A378" s="38" t="n"/>
      <c r="B378" s="39" t="n"/>
      <c r="C378" s="15">
        <f>IF($A378="","",CHOOSE($B378,"JAN","FEV","MAR","ABR","MAI","JUN","JUL","AGO","SET","OUT","NOV","DEZ"))</f>
        <v/>
      </c>
      <c r="D378" s="40">
        <f>IF($A378="","",IFERROR(IF(INDEX('Lançamento'!$B$6:$M$35,MATCH($A378,'Lançamento'!$A$6:$A$35,0),$B378)="","",INDEX('Lançamento'!$B$6:$M$35,MATCH($A378,'Lançamento'!$A$6:$A$35,0),$B378)),""))</f>
        <v/>
      </c>
      <c r="E378" s="12" t="n"/>
      <c r="F378" s="15">
        <f>IF($A378="","",IF(OR($D378="",$E378=""),"Digitar valor do print",IF(ABS($D378-$E378)&lt;=0.001,"✔ Confere","⚠ Divergente")))</f>
        <v/>
      </c>
      <c r="G378" s="39" t="n"/>
      <c r="H378" s="39" t="n"/>
      <c r="I378" s="41" t="n"/>
      <c r="J378" s="39" t="n"/>
    </row>
    <row r="379">
      <c r="A379" s="38" t="n"/>
      <c r="B379" s="39" t="n"/>
      <c r="C379" s="15">
        <f>IF($A379="","",CHOOSE($B379,"JAN","FEV","MAR","ABR","MAI","JUN","JUL","AGO","SET","OUT","NOV","DEZ"))</f>
        <v/>
      </c>
      <c r="D379" s="40">
        <f>IF($A379="","",IFERROR(IF(INDEX('Lançamento'!$B$6:$M$35,MATCH($A379,'Lançamento'!$A$6:$A$35,0),$B379)="","",INDEX('Lançamento'!$B$6:$M$35,MATCH($A379,'Lançamento'!$A$6:$A$35,0),$B379)),""))</f>
        <v/>
      </c>
      <c r="E379" s="12" t="n"/>
      <c r="F379" s="15">
        <f>IF($A379="","",IF(OR($D379="",$E379=""),"Digitar valor do print",IF(ABS($D379-$E379)&lt;=0.001,"✔ Confere","⚠ Divergente")))</f>
        <v/>
      </c>
      <c r="G379" s="39" t="n"/>
      <c r="H379" s="39" t="n"/>
      <c r="I379" s="41" t="n"/>
      <c r="J379" s="39" t="n"/>
    </row>
    <row r="380">
      <c r="A380" s="38" t="n"/>
      <c r="B380" s="39" t="n"/>
      <c r="C380" s="15">
        <f>IF($A380="","",CHOOSE($B380,"JAN","FEV","MAR","ABR","MAI","JUN","JUL","AGO","SET","OUT","NOV","DEZ"))</f>
        <v/>
      </c>
      <c r="D380" s="40">
        <f>IF($A380="","",IFERROR(IF(INDEX('Lançamento'!$B$6:$M$35,MATCH($A380,'Lançamento'!$A$6:$A$35,0),$B380)="","",INDEX('Lançamento'!$B$6:$M$35,MATCH($A380,'Lançamento'!$A$6:$A$35,0),$B380)),""))</f>
        <v/>
      </c>
      <c r="E380" s="12" t="n"/>
      <c r="F380" s="15">
        <f>IF($A380="","",IF(OR($D380="",$E380=""),"Digitar valor do print",IF(ABS($D380-$E380)&lt;=0.001,"✔ Confere","⚠ Divergente")))</f>
        <v/>
      </c>
      <c r="G380" s="39" t="n"/>
      <c r="H380" s="39" t="n"/>
      <c r="I380" s="41" t="n"/>
      <c r="J380" s="39" t="n"/>
    </row>
    <row r="381">
      <c r="A381" s="38" t="n"/>
      <c r="B381" s="39" t="n"/>
      <c r="C381" s="15">
        <f>IF($A381="","",CHOOSE($B381,"JAN","FEV","MAR","ABR","MAI","JUN","JUL","AGO","SET","OUT","NOV","DEZ"))</f>
        <v/>
      </c>
      <c r="D381" s="40">
        <f>IF($A381="","",IFERROR(IF(INDEX('Lançamento'!$B$6:$M$35,MATCH($A381,'Lançamento'!$A$6:$A$35,0),$B381)="","",INDEX('Lançamento'!$B$6:$M$35,MATCH($A381,'Lançamento'!$A$6:$A$35,0),$B381)),""))</f>
        <v/>
      </c>
      <c r="E381" s="12" t="n"/>
      <c r="F381" s="15">
        <f>IF($A381="","",IF(OR($D381="",$E381=""),"Digitar valor do print",IF(ABS($D381-$E381)&lt;=0.001,"✔ Confere","⚠ Divergente")))</f>
        <v/>
      </c>
      <c r="G381" s="39" t="n"/>
      <c r="H381" s="39" t="n"/>
      <c r="I381" s="41" t="n"/>
      <c r="J381" s="39" t="n"/>
    </row>
    <row r="382">
      <c r="A382" s="38" t="n"/>
      <c r="B382" s="39" t="n"/>
      <c r="C382" s="15">
        <f>IF($A382="","",CHOOSE($B382,"JAN","FEV","MAR","ABR","MAI","JUN","JUL","AGO","SET","OUT","NOV","DEZ"))</f>
        <v/>
      </c>
      <c r="D382" s="40">
        <f>IF($A382="","",IFERROR(IF(INDEX('Lançamento'!$B$6:$M$35,MATCH($A382,'Lançamento'!$A$6:$A$35,0),$B382)="","",INDEX('Lançamento'!$B$6:$M$35,MATCH($A382,'Lançamento'!$A$6:$A$35,0),$B382)),""))</f>
        <v/>
      </c>
      <c r="E382" s="12" t="n"/>
      <c r="F382" s="15">
        <f>IF($A382="","",IF(OR($D382="",$E382=""),"Digitar valor do print",IF(ABS($D382-$E382)&lt;=0.001,"✔ Confere","⚠ Divergente")))</f>
        <v/>
      </c>
      <c r="G382" s="39" t="n"/>
      <c r="H382" s="39" t="n"/>
      <c r="I382" s="41" t="n"/>
      <c r="J382" s="39" t="n"/>
    </row>
    <row r="383">
      <c r="A383" s="38" t="n"/>
      <c r="B383" s="39" t="n"/>
      <c r="C383" s="15">
        <f>IF($A383="","",CHOOSE($B383,"JAN","FEV","MAR","ABR","MAI","JUN","JUL","AGO","SET","OUT","NOV","DEZ"))</f>
        <v/>
      </c>
      <c r="D383" s="40">
        <f>IF($A383="","",IFERROR(IF(INDEX('Lançamento'!$B$6:$M$35,MATCH($A383,'Lançamento'!$A$6:$A$35,0),$B383)="","",INDEX('Lançamento'!$B$6:$M$35,MATCH($A383,'Lançamento'!$A$6:$A$35,0),$B383)),""))</f>
        <v/>
      </c>
      <c r="E383" s="12" t="n"/>
      <c r="F383" s="15">
        <f>IF($A383="","",IF(OR($D383="",$E383=""),"Digitar valor do print",IF(ABS($D383-$E383)&lt;=0.001,"✔ Confere","⚠ Divergente")))</f>
        <v/>
      </c>
      <c r="G383" s="39" t="n"/>
      <c r="H383" s="39" t="n"/>
      <c r="I383" s="41" t="n"/>
      <c r="J383" s="39" t="n"/>
    </row>
    <row r="384">
      <c r="A384" s="38" t="n"/>
      <c r="B384" s="39" t="n"/>
      <c r="C384" s="15">
        <f>IF($A384="","",CHOOSE($B384,"JAN","FEV","MAR","ABR","MAI","JUN","JUL","AGO","SET","OUT","NOV","DEZ"))</f>
        <v/>
      </c>
      <c r="D384" s="40">
        <f>IF($A384="","",IFERROR(IF(INDEX('Lançamento'!$B$6:$M$35,MATCH($A384,'Lançamento'!$A$6:$A$35,0),$B384)="","",INDEX('Lançamento'!$B$6:$M$35,MATCH($A384,'Lançamento'!$A$6:$A$35,0),$B384)),""))</f>
        <v/>
      </c>
      <c r="E384" s="12" t="n"/>
      <c r="F384" s="15">
        <f>IF($A384="","",IF(OR($D384="",$E384=""),"Digitar valor do print",IF(ABS($D384-$E384)&lt;=0.001,"✔ Confere","⚠ Divergente")))</f>
        <v/>
      </c>
      <c r="G384" s="39" t="n"/>
      <c r="H384" s="39" t="n"/>
      <c r="I384" s="41" t="n"/>
      <c r="J384" s="39" t="n"/>
    </row>
    <row r="385">
      <c r="A385" s="38" t="n"/>
      <c r="B385" s="39" t="n"/>
      <c r="C385" s="15">
        <f>IF($A385="","",CHOOSE($B385,"JAN","FEV","MAR","ABR","MAI","JUN","JUL","AGO","SET","OUT","NOV","DEZ"))</f>
        <v/>
      </c>
      <c r="D385" s="40">
        <f>IF($A385="","",IFERROR(IF(INDEX('Lançamento'!$B$6:$M$35,MATCH($A385,'Lançamento'!$A$6:$A$35,0),$B385)="","",INDEX('Lançamento'!$B$6:$M$35,MATCH($A385,'Lançamento'!$A$6:$A$35,0),$B385)),""))</f>
        <v/>
      </c>
      <c r="E385" s="12" t="n"/>
      <c r="F385" s="15">
        <f>IF($A385="","",IF(OR($D385="",$E385=""),"Digitar valor do print",IF(ABS($D385-$E385)&lt;=0.001,"✔ Confere","⚠ Divergente")))</f>
        <v/>
      </c>
      <c r="G385" s="39" t="n"/>
      <c r="H385" s="39" t="n"/>
      <c r="I385" s="41" t="n"/>
      <c r="J385" s="39" t="n"/>
    </row>
    <row r="386">
      <c r="A386" s="38" t="n"/>
      <c r="B386" s="39" t="n"/>
      <c r="C386" s="15">
        <f>IF($A386="","",CHOOSE($B386,"JAN","FEV","MAR","ABR","MAI","JUN","JUL","AGO","SET","OUT","NOV","DEZ"))</f>
        <v/>
      </c>
      <c r="D386" s="40">
        <f>IF($A386="","",IFERROR(IF(INDEX('Lançamento'!$B$6:$M$35,MATCH($A386,'Lançamento'!$A$6:$A$35,0),$B386)="","",INDEX('Lançamento'!$B$6:$M$35,MATCH($A386,'Lançamento'!$A$6:$A$35,0),$B386)),""))</f>
        <v/>
      </c>
      <c r="E386" s="12" t="n"/>
      <c r="F386" s="15">
        <f>IF($A386="","",IF(OR($D386="",$E386=""),"Digitar valor do print",IF(ABS($D386-$E386)&lt;=0.001,"✔ Confere","⚠ Divergente")))</f>
        <v/>
      </c>
      <c r="G386" s="39" t="n"/>
      <c r="H386" s="39" t="n"/>
      <c r="I386" s="41" t="n"/>
      <c r="J386" s="39" t="n"/>
    </row>
    <row r="387">
      <c r="A387" s="38" t="n"/>
      <c r="B387" s="39" t="n"/>
      <c r="C387" s="15">
        <f>IF($A387="","",CHOOSE($B387,"JAN","FEV","MAR","ABR","MAI","JUN","JUL","AGO","SET","OUT","NOV","DEZ"))</f>
        <v/>
      </c>
      <c r="D387" s="40">
        <f>IF($A387="","",IFERROR(IF(INDEX('Lançamento'!$B$6:$M$35,MATCH($A387,'Lançamento'!$A$6:$A$35,0),$B387)="","",INDEX('Lançamento'!$B$6:$M$35,MATCH($A387,'Lançamento'!$A$6:$A$35,0),$B387)),""))</f>
        <v/>
      </c>
      <c r="E387" s="12" t="n"/>
      <c r="F387" s="15">
        <f>IF($A387="","",IF(OR($D387="",$E387=""),"Digitar valor do print",IF(ABS($D387-$E387)&lt;=0.001,"✔ Confere","⚠ Divergente")))</f>
        <v/>
      </c>
      <c r="G387" s="39" t="n"/>
      <c r="H387" s="39" t="n"/>
      <c r="I387" s="41" t="n"/>
      <c r="J387" s="39" t="n"/>
    </row>
    <row r="388">
      <c r="A388" s="38" t="n"/>
      <c r="B388" s="39" t="n"/>
      <c r="C388" s="15">
        <f>IF($A388="","",CHOOSE($B388,"JAN","FEV","MAR","ABR","MAI","JUN","JUL","AGO","SET","OUT","NOV","DEZ"))</f>
        <v/>
      </c>
      <c r="D388" s="40">
        <f>IF($A388="","",IFERROR(IF(INDEX('Lançamento'!$B$6:$M$35,MATCH($A388,'Lançamento'!$A$6:$A$35,0),$B388)="","",INDEX('Lançamento'!$B$6:$M$35,MATCH($A388,'Lançamento'!$A$6:$A$35,0),$B388)),""))</f>
        <v/>
      </c>
      <c r="E388" s="12" t="n"/>
      <c r="F388" s="15">
        <f>IF($A388="","",IF(OR($D388="",$E388=""),"Digitar valor do print",IF(ABS($D388-$E388)&lt;=0.001,"✔ Confere","⚠ Divergente")))</f>
        <v/>
      </c>
      <c r="G388" s="39" t="n"/>
      <c r="H388" s="39" t="n"/>
      <c r="I388" s="41" t="n"/>
      <c r="J388" s="39" t="n"/>
    </row>
    <row r="389">
      <c r="A389" s="38" t="n"/>
      <c r="B389" s="39" t="n"/>
      <c r="C389" s="15">
        <f>IF($A389="","",CHOOSE($B389,"JAN","FEV","MAR","ABR","MAI","JUN","JUL","AGO","SET","OUT","NOV","DEZ"))</f>
        <v/>
      </c>
      <c r="D389" s="40">
        <f>IF($A389="","",IFERROR(IF(INDEX('Lançamento'!$B$6:$M$35,MATCH($A389,'Lançamento'!$A$6:$A$35,0),$B389)="","",INDEX('Lançamento'!$B$6:$M$35,MATCH($A389,'Lançamento'!$A$6:$A$35,0),$B389)),""))</f>
        <v/>
      </c>
      <c r="E389" s="12" t="n"/>
      <c r="F389" s="15">
        <f>IF($A389="","",IF(OR($D389="",$E389=""),"Digitar valor do print",IF(ABS($D389-$E389)&lt;=0.001,"✔ Confere","⚠ Divergente")))</f>
        <v/>
      </c>
      <c r="G389" s="39" t="n"/>
      <c r="H389" s="39" t="n"/>
      <c r="I389" s="41" t="n"/>
      <c r="J389" s="39" t="n"/>
    </row>
    <row r="390">
      <c r="A390" s="38" t="n"/>
      <c r="B390" s="39" t="n"/>
      <c r="C390" s="15">
        <f>IF($A390="","",CHOOSE($B390,"JAN","FEV","MAR","ABR","MAI","JUN","JUL","AGO","SET","OUT","NOV","DEZ"))</f>
        <v/>
      </c>
      <c r="D390" s="40">
        <f>IF($A390="","",IFERROR(IF(INDEX('Lançamento'!$B$6:$M$35,MATCH($A390,'Lançamento'!$A$6:$A$35,0),$B390)="","",INDEX('Lançamento'!$B$6:$M$35,MATCH($A390,'Lançamento'!$A$6:$A$35,0),$B390)),""))</f>
        <v/>
      </c>
      <c r="E390" s="12" t="n"/>
      <c r="F390" s="15">
        <f>IF($A390="","",IF(OR($D390="",$E390=""),"Digitar valor do print",IF(ABS($D390-$E390)&lt;=0.001,"✔ Confere","⚠ Divergente")))</f>
        <v/>
      </c>
      <c r="G390" s="39" t="n"/>
      <c r="H390" s="39" t="n"/>
      <c r="I390" s="41" t="n"/>
      <c r="J390" s="39" t="n"/>
    </row>
    <row r="391">
      <c r="A391" s="38" t="n"/>
      <c r="B391" s="39" t="n"/>
      <c r="C391" s="15">
        <f>IF($A391="","",CHOOSE($B391,"JAN","FEV","MAR","ABR","MAI","JUN","JUL","AGO","SET","OUT","NOV","DEZ"))</f>
        <v/>
      </c>
      <c r="D391" s="40">
        <f>IF($A391="","",IFERROR(IF(INDEX('Lançamento'!$B$6:$M$35,MATCH($A391,'Lançamento'!$A$6:$A$35,0),$B391)="","",INDEX('Lançamento'!$B$6:$M$35,MATCH($A391,'Lançamento'!$A$6:$A$35,0),$B391)),""))</f>
        <v/>
      </c>
      <c r="E391" s="12" t="n"/>
      <c r="F391" s="15">
        <f>IF($A391="","",IF(OR($D391="",$E391=""),"Digitar valor do print",IF(ABS($D391-$E391)&lt;=0.001,"✔ Confere","⚠ Divergente")))</f>
        <v/>
      </c>
      <c r="G391" s="39" t="n"/>
      <c r="H391" s="39" t="n"/>
      <c r="I391" s="41" t="n"/>
      <c r="J391" s="39" t="n"/>
    </row>
    <row r="392">
      <c r="A392" s="38" t="n"/>
      <c r="B392" s="39" t="n"/>
      <c r="C392" s="15">
        <f>IF($A392="","",CHOOSE($B392,"JAN","FEV","MAR","ABR","MAI","JUN","JUL","AGO","SET","OUT","NOV","DEZ"))</f>
        <v/>
      </c>
      <c r="D392" s="40">
        <f>IF($A392="","",IFERROR(IF(INDEX('Lançamento'!$B$6:$M$35,MATCH($A392,'Lançamento'!$A$6:$A$35,0),$B392)="","",INDEX('Lançamento'!$B$6:$M$35,MATCH($A392,'Lançamento'!$A$6:$A$35,0),$B392)),""))</f>
        <v/>
      </c>
      <c r="E392" s="12" t="n"/>
      <c r="F392" s="15">
        <f>IF($A392="","",IF(OR($D392="",$E392=""),"Digitar valor do print",IF(ABS($D392-$E392)&lt;=0.001,"✔ Confere","⚠ Divergente")))</f>
        <v/>
      </c>
      <c r="G392" s="39" t="n"/>
      <c r="H392" s="39" t="n"/>
      <c r="I392" s="41" t="n"/>
      <c r="J392" s="39" t="n"/>
    </row>
    <row r="393">
      <c r="A393" s="38" t="n"/>
      <c r="B393" s="39" t="n"/>
      <c r="C393" s="15">
        <f>IF($A393="","",CHOOSE($B393,"JAN","FEV","MAR","ABR","MAI","JUN","JUL","AGO","SET","OUT","NOV","DEZ"))</f>
        <v/>
      </c>
      <c r="D393" s="40">
        <f>IF($A393="","",IFERROR(IF(INDEX('Lançamento'!$B$6:$M$35,MATCH($A393,'Lançamento'!$A$6:$A$35,0),$B393)="","",INDEX('Lançamento'!$B$6:$M$35,MATCH($A393,'Lançamento'!$A$6:$A$35,0),$B393)),""))</f>
        <v/>
      </c>
      <c r="E393" s="12" t="n"/>
      <c r="F393" s="15">
        <f>IF($A393="","",IF(OR($D393="",$E393=""),"Digitar valor do print",IF(ABS($D393-$E393)&lt;=0.001,"✔ Confere","⚠ Divergente")))</f>
        <v/>
      </c>
      <c r="G393" s="39" t="n"/>
      <c r="H393" s="39" t="n"/>
      <c r="I393" s="41" t="n"/>
      <c r="J393" s="39" t="n"/>
    </row>
    <row r="394">
      <c r="A394" s="38" t="n"/>
      <c r="B394" s="39" t="n"/>
      <c r="C394" s="15">
        <f>IF($A394="","",CHOOSE($B394,"JAN","FEV","MAR","ABR","MAI","JUN","JUL","AGO","SET","OUT","NOV","DEZ"))</f>
        <v/>
      </c>
      <c r="D394" s="40">
        <f>IF($A394="","",IFERROR(IF(INDEX('Lançamento'!$B$6:$M$35,MATCH($A394,'Lançamento'!$A$6:$A$35,0),$B394)="","",INDEX('Lançamento'!$B$6:$M$35,MATCH($A394,'Lançamento'!$A$6:$A$35,0),$B394)),""))</f>
        <v/>
      </c>
      <c r="E394" s="12" t="n"/>
      <c r="F394" s="15">
        <f>IF($A394="","",IF(OR($D394="",$E394=""),"Digitar valor do print",IF(ABS($D394-$E394)&lt;=0.001,"✔ Confere","⚠ Divergente")))</f>
        <v/>
      </c>
      <c r="G394" s="39" t="n"/>
      <c r="H394" s="39" t="n"/>
      <c r="I394" s="41" t="n"/>
      <c r="J394" s="39" t="n"/>
    </row>
    <row r="395">
      <c r="A395" s="38" t="n"/>
      <c r="B395" s="39" t="n"/>
      <c r="C395" s="15">
        <f>IF($A395="","",CHOOSE($B395,"JAN","FEV","MAR","ABR","MAI","JUN","JUL","AGO","SET","OUT","NOV","DEZ"))</f>
        <v/>
      </c>
      <c r="D395" s="40">
        <f>IF($A395="","",IFERROR(IF(INDEX('Lançamento'!$B$6:$M$35,MATCH($A395,'Lançamento'!$A$6:$A$35,0),$B395)="","",INDEX('Lançamento'!$B$6:$M$35,MATCH($A395,'Lançamento'!$A$6:$A$35,0),$B395)),""))</f>
        <v/>
      </c>
      <c r="E395" s="12" t="n"/>
      <c r="F395" s="15">
        <f>IF($A395="","",IF(OR($D395="",$E395=""),"Digitar valor do print",IF(ABS($D395-$E395)&lt;=0.001,"✔ Confere","⚠ Divergente")))</f>
        <v/>
      </c>
      <c r="G395" s="39" t="n"/>
      <c r="H395" s="39" t="n"/>
      <c r="I395" s="41" t="n"/>
      <c r="J395" s="39" t="n"/>
    </row>
    <row r="396">
      <c r="A396" s="38" t="n"/>
      <c r="B396" s="39" t="n"/>
      <c r="C396" s="15">
        <f>IF($A396="","",CHOOSE($B396,"JAN","FEV","MAR","ABR","MAI","JUN","JUL","AGO","SET","OUT","NOV","DEZ"))</f>
        <v/>
      </c>
      <c r="D396" s="40">
        <f>IF($A396="","",IFERROR(IF(INDEX('Lançamento'!$B$6:$M$35,MATCH($A396,'Lançamento'!$A$6:$A$35,0),$B396)="","",INDEX('Lançamento'!$B$6:$M$35,MATCH($A396,'Lançamento'!$A$6:$A$35,0),$B396)),""))</f>
        <v/>
      </c>
      <c r="E396" s="12" t="n"/>
      <c r="F396" s="15">
        <f>IF($A396="","",IF(OR($D396="",$E396=""),"Digitar valor do print",IF(ABS($D396-$E396)&lt;=0.001,"✔ Confere","⚠ Divergente")))</f>
        <v/>
      </c>
      <c r="G396" s="39" t="n"/>
      <c r="H396" s="39" t="n"/>
      <c r="I396" s="41" t="n"/>
      <c r="J396" s="39" t="n"/>
    </row>
    <row r="397">
      <c r="A397" s="38" t="n"/>
      <c r="B397" s="39" t="n"/>
      <c r="C397" s="15">
        <f>IF($A397="","",CHOOSE($B397,"JAN","FEV","MAR","ABR","MAI","JUN","JUL","AGO","SET","OUT","NOV","DEZ"))</f>
        <v/>
      </c>
      <c r="D397" s="40">
        <f>IF($A397="","",IFERROR(IF(INDEX('Lançamento'!$B$6:$M$35,MATCH($A397,'Lançamento'!$A$6:$A$35,0),$B397)="","",INDEX('Lançamento'!$B$6:$M$35,MATCH($A397,'Lançamento'!$A$6:$A$35,0),$B397)),""))</f>
        <v/>
      </c>
      <c r="E397" s="12" t="n"/>
      <c r="F397" s="15">
        <f>IF($A397="","",IF(OR($D397="",$E397=""),"Digitar valor do print",IF(ABS($D397-$E397)&lt;=0.001,"✔ Confere","⚠ Divergente")))</f>
        <v/>
      </c>
      <c r="G397" s="39" t="n"/>
      <c r="H397" s="39" t="n"/>
      <c r="I397" s="41" t="n"/>
      <c r="J397" s="39" t="n"/>
    </row>
    <row r="398">
      <c r="A398" s="38" t="n"/>
      <c r="B398" s="39" t="n"/>
      <c r="C398" s="15">
        <f>IF($A398="","",CHOOSE($B398,"JAN","FEV","MAR","ABR","MAI","JUN","JUL","AGO","SET","OUT","NOV","DEZ"))</f>
        <v/>
      </c>
      <c r="D398" s="40">
        <f>IF($A398="","",IFERROR(IF(INDEX('Lançamento'!$B$6:$M$35,MATCH($A398,'Lançamento'!$A$6:$A$35,0),$B398)="","",INDEX('Lançamento'!$B$6:$M$35,MATCH($A398,'Lançamento'!$A$6:$A$35,0),$B398)),""))</f>
        <v/>
      </c>
      <c r="E398" s="12" t="n"/>
      <c r="F398" s="15">
        <f>IF($A398="","",IF(OR($D398="",$E398=""),"Digitar valor do print",IF(ABS($D398-$E398)&lt;=0.001,"✔ Confere","⚠ Divergente")))</f>
        <v/>
      </c>
      <c r="G398" s="39" t="n"/>
      <c r="H398" s="39" t="n"/>
      <c r="I398" s="41" t="n"/>
      <c r="J398" s="39" t="n"/>
    </row>
    <row r="399">
      <c r="A399" s="38" t="n"/>
      <c r="B399" s="39" t="n"/>
      <c r="C399" s="15">
        <f>IF($A399="","",CHOOSE($B399,"JAN","FEV","MAR","ABR","MAI","JUN","JUL","AGO","SET","OUT","NOV","DEZ"))</f>
        <v/>
      </c>
      <c r="D399" s="40">
        <f>IF($A399="","",IFERROR(IF(INDEX('Lançamento'!$B$6:$M$35,MATCH($A399,'Lançamento'!$A$6:$A$35,0),$B399)="","",INDEX('Lançamento'!$B$6:$M$35,MATCH($A399,'Lançamento'!$A$6:$A$35,0),$B399)),""))</f>
        <v/>
      </c>
      <c r="E399" s="12" t="n"/>
      <c r="F399" s="15">
        <f>IF($A399="","",IF(OR($D399="",$E399=""),"Digitar valor do print",IF(ABS($D399-$E399)&lt;=0.001,"✔ Confere","⚠ Divergente")))</f>
        <v/>
      </c>
      <c r="G399" s="39" t="n"/>
      <c r="H399" s="39" t="n"/>
      <c r="I399" s="41" t="n"/>
      <c r="J399" s="39" t="n"/>
    </row>
    <row r="400">
      <c r="A400" s="38" t="n"/>
      <c r="B400" s="39" t="n"/>
      <c r="C400" s="15">
        <f>IF($A400="","",CHOOSE($B400,"JAN","FEV","MAR","ABR","MAI","JUN","JUL","AGO","SET","OUT","NOV","DEZ"))</f>
        <v/>
      </c>
      <c r="D400" s="40">
        <f>IF($A400="","",IFERROR(IF(INDEX('Lançamento'!$B$6:$M$35,MATCH($A400,'Lançamento'!$A$6:$A$35,0),$B400)="","",INDEX('Lançamento'!$B$6:$M$35,MATCH($A400,'Lançamento'!$A$6:$A$35,0),$B400)),""))</f>
        <v/>
      </c>
      <c r="E400" s="12" t="n"/>
      <c r="F400" s="15">
        <f>IF($A400="","",IF(OR($D400="",$E400=""),"Digitar valor do print",IF(ABS($D400-$E400)&lt;=0.001,"✔ Confere","⚠ Divergente")))</f>
        <v/>
      </c>
      <c r="G400" s="39" t="n"/>
      <c r="H400" s="39" t="n"/>
      <c r="I400" s="41" t="n"/>
      <c r="J400" s="39" t="n"/>
    </row>
    <row r="401">
      <c r="A401" s="38" t="n"/>
      <c r="B401" s="39" t="n"/>
      <c r="C401" s="15">
        <f>IF($A401="","",CHOOSE($B401,"JAN","FEV","MAR","ABR","MAI","JUN","JUL","AGO","SET","OUT","NOV","DEZ"))</f>
        <v/>
      </c>
      <c r="D401" s="40">
        <f>IF($A401="","",IFERROR(IF(INDEX('Lançamento'!$B$6:$M$35,MATCH($A401,'Lançamento'!$A$6:$A$35,0),$B401)="","",INDEX('Lançamento'!$B$6:$M$35,MATCH($A401,'Lançamento'!$A$6:$A$35,0),$B401)),""))</f>
        <v/>
      </c>
      <c r="E401" s="12" t="n"/>
      <c r="F401" s="15">
        <f>IF($A401="","",IF(OR($D401="",$E401=""),"Digitar valor do print",IF(ABS($D401-$E401)&lt;=0.001,"✔ Confere","⚠ Divergente")))</f>
        <v/>
      </c>
      <c r="G401" s="39" t="n"/>
      <c r="H401" s="39" t="n"/>
      <c r="I401" s="41" t="n"/>
      <c r="J401" s="39" t="n"/>
    </row>
    <row r="402">
      <c r="A402" s="38" t="n"/>
      <c r="B402" s="39" t="n"/>
      <c r="C402" s="15">
        <f>IF($A402="","",CHOOSE($B402,"JAN","FEV","MAR","ABR","MAI","JUN","JUL","AGO","SET","OUT","NOV","DEZ"))</f>
        <v/>
      </c>
      <c r="D402" s="40">
        <f>IF($A402="","",IFERROR(IF(INDEX('Lançamento'!$B$6:$M$35,MATCH($A402,'Lançamento'!$A$6:$A$35,0),$B402)="","",INDEX('Lançamento'!$B$6:$M$35,MATCH($A402,'Lançamento'!$A$6:$A$35,0),$B402)),""))</f>
        <v/>
      </c>
      <c r="E402" s="12" t="n"/>
      <c r="F402" s="15">
        <f>IF($A402="","",IF(OR($D402="",$E402=""),"Digitar valor do print",IF(ABS($D402-$E402)&lt;=0.001,"✔ Confere","⚠ Divergente")))</f>
        <v/>
      </c>
      <c r="G402" s="39" t="n"/>
      <c r="H402" s="39" t="n"/>
      <c r="I402" s="41" t="n"/>
      <c r="J402" s="39" t="n"/>
    </row>
    <row r="403">
      <c r="A403" s="38" t="n"/>
      <c r="B403" s="39" t="n"/>
      <c r="C403" s="15">
        <f>IF($A403="","",CHOOSE($B403,"JAN","FEV","MAR","ABR","MAI","JUN","JUL","AGO","SET","OUT","NOV","DEZ"))</f>
        <v/>
      </c>
      <c r="D403" s="40">
        <f>IF($A403="","",IFERROR(IF(INDEX('Lançamento'!$B$6:$M$35,MATCH($A403,'Lançamento'!$A$6:$A$35,0),$B403)="","",INDEX('Lançamento'!$B$6:$M$35,MATCH($A403,'Lançamento'!$A$6:$A$35,0),$B403)),""))</f>
        <v/>
      </c>
      <c r="E403" s="12" t="n"/>
      <c r="F403" s="15">
        <f>IF($A403="","",IF(OR($D403="",$E403=""),"Digitar valor do print",IF(ABS($D403-$E403)&lt;=0.001,"✔ Confere","⚠ Divergente")))</f>
        <v/>
      </c>
      <c r="G403" s="39" t="n"/>
      <c r="H403" s="39" t="n"/>
      <c r="I403" s="41" t="n"/>
      <c r="J403" s="39" t="n"/>
    </row>
    <row r="404">
      <c r="A404" s="38" t="n"/>
      <c r="B404" s="39" t="n"/>
      <c r="C404" s="15">
        <f>IF($A404="","",CHOOSE($B404,"JAN","FEV","MAR","ABR","MAI","JUN","JUL","AGO","SET","OUT","NOV","DEZ"))</f>
        <v/>
      </c>
      <c r="D404" s="40">
        <f>IF($A404="","",IFERROR(IF(INDEX('Lançamento'!$B$6:$M$35,MATCH($A404,'Lançamento'!$A$6:$A$35,0),$B404)="","",INDEX('Lançamento'!$B$6:$M$35,MATCH($A404,'Lançamento'!$A$6:$A$35,0),$B404)),""))</f>
        <v/>
      </c>
      <c r="E404" s="12" t="n"/>
      <c r="F404" s="15">
        <f>IF($A404="","",IF(OR($D404="",$E404=""),"Digitar valor do print",IF(ABS($D404-$E404)&lt;=0.001,"✔ Confere","⚠ Divergente")))</f>
        <v/>
      </c>
      <c r="G404" s="39" t="n"/>
      <c r="H404" s="39" t="n"/>
      <c r="I404" s="41" t="n"/>
      <c r="J404" s="39" t="n"/>
    </row>
    <row r="405">
      <c r="A405" s="38" t="n"/>
      <c r="B405" s="39" t="n"/>
      <c r="C405" s="15">
        <f>IF($A405="","",CHOOSE($B405,"JAN","FEV","MAR","ABR","MAI","JUN","JUL","AGO","SET","OUT","NOV","DEZ"))</f>
        <v/>
      </c>
      <c r="D405" s="40">
        <f>IF($A405="","",IFERROR(IF(INDEX('Lançamento'!$B$6:$M$35,MATCH($A405,'Lançamento'!$A$6:$A$35,0),$B405)="","",INDEX('Lançamento'!$B$6:$M$35,MATCH($A405,'Lançamento'!$A$6:$A$35,0),$B405)),""))</f>
        <v/>
      </c>
      <c r="E405" s="12" t="n"/>
      <c r="F405" s="15">
        <f>IF($A405="","",IF(OR($D405="",$E405=""),"Digitar valor do print",IF(ABS($D405-$E405)&lt;=0.001,"✔ Confere","⚠ Divergente")))</f>
        <v/>
      </c>
      <c r="G405" s="39" t="n"/>
      <c r="H405" s="39" t="n"/>
      <c r="I405" s="41" t="n"/>
      <c r="J405" s="39" t="n"/>
    </row>
  </sheetData>
  <conditionalFormatting sqref="F6:F405">
    <cfRule type="expression" priority="1" dxfId="2">
      <formula>ISNUMBER(SEARCH("Confere",$F6))</formula>
    </cfRule>
    <cfRule type="expression" priority="2" dxfId="0">
      <formula>ISNUMBER(SEARCH("Diverg",$F6))</formula>
    </cfRule>
  </conditionalFormatting>
  <dataValidations count="2">
    <dataValidation sqref="E6:E405" showDropDown="0" showInputMessage="0" showErrorMessage="1" allowBlank="1" errorTitle="Taxa inválida" error="Digite a taxa entre 0% e 100% (ex.: 98,4)." type="decimal" operator="between">
      <formula1>0</formula1>
      <formula2>1</formula2>
    </dataValidation>
    <dataValidation sqref="G6:G405" showDropDown="0" showInputMessage="0" showErrorMessage="0" allowBlank="1" type="list">
      <formula1>"Portal RLS,E-mail,Relatório do cliente,Outro"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Aba auxiliar (oculta): alimenta os gráficos e o resumo. Não editar.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2" t="n"/>
      <c r="AE1" s="42" t="n"/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2" t="n"/>
      <c r="AS1" s="42" t="n"/>
      <c r="AT1" s="42" t="n"/>
      <c r="AU1" s="42" t="n"/>
      <c r="AV1" s="42" t="n"/>
      <c r="AW1" s="42" t="n"/>
      <c r="AX1" s="42" t="n"/>
      <c r="AY1" s="42" t="n"/>
      <c r="AZ1" s="42" t="n"/>
      <c r="BA1" s="42" t="n"/>
      <c r="BB1" s="42" t="n"/>
      <c r="BC1" s="42" t="n"/>
      <c r="BD1" s="42" t="n"/>
      <c r="BE1" s="42" t="n"/>
      <c r="BF1" s="42" t="n"/>
      <c r="BG1" s="42" t="n"/>
      <c r="BH1" s="42" t="n"/>
      <c r="BI1" s="42" t="n"/>
      <c r="BJ1" s="42" t="n"/>
    </row>
    <row r="2">
      <c r="A2" s="42" t="inlineStr">
        <is>
          <t>Último mês com lançamento</t>
        </is>
      </c>
      <c r="B2" s="42">
        <f>SUMPRODUCT(MAX(('Lançamento'!B6:M35&lt;&gt;"")*(COLUMN('Lançamento'!B6:M35)-1)))</f>
        <v/>
      </c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2" t="n"/>
      <c r="AI2" s="42" t="n"/>
      <c r="AJ2" s="42" t="n"/>
      <c r="AK2" s="42" t="n"/>
      <c r="AL2" s="42" t="n"/>
      <c r="AM2" s="42" t="n"/>
      <c r="AN2" s="42" t="n"/>
      <c r="AO2" s="42" t="n"/>
      <c r="AP2" s="42" t="n"/>
      <c r="AQ2" s="42" t="n"/>
      <c r="AR2" s="42" t="n"/>
      <c r="AS2" s="42" t="n"/>
      <c r="AT2" s="42" t="n"/>
      <c r="AU2" s="42" t="n"/>
      <c r="AV2" s="42" t="n"/>
      <c r="AW2" s="42" t="n"/>
      <c r="AX2" s="42" t="n"/>
      <c r="AY2" s="42" t="n"/>
      <c r="AZ2" s="42" t="n"/>
      <c r="BA2" s="42" t="n"/>
      <c r="BB2" s="42" t="n"/>
      <c r="BC2" s="42" t="n"/>
      <c r="BD2" s="42" t="n"/>
      <c r="BE2" s="42" t="n"/>
      <c r="BF2" s="42" t="n"/>
      <c r="BG2" s="42" t="n"/>
      <c r="BH2" s="42" t="n"/>
      <c r="BI2" s="42" t="n"/>
      <c r="BJ2" s="42" t="n"/>
    </row>
    <row r="3">
      <c r="A3" s="42" t="inlineStr">
        <is>
          <t>Montadoras no verde no último mês</t>
        </is>
      </c>
      <c r="B3" s="42">
        <f>IF(B2=0,0,SUMPRODUCT(ISNUMBER(INDEX('Lançamento'!B6:M35,0,B2))*(ROUND(INDEX('Lançamento'!B6:M35,0,B2),6)&gt;=ROUND('Lançamento'!$H$3,6))))</f>
        <v/>
      </c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</row>
    <row r="4">
      <c r="A4" s="42" t="inlineStr">
        <is>
          <t>Montadoras com valor no último mês</t>
        </is>
      </c>
      <c r="B4" s="42">
        <f>IF(B2=0,0,SUMPRODUCT(--ISNUMBER(INDEX('Lançamento'!B6:M35,0,B2))))</f>
        <v/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</row>
    <row r="5">
      <c r="A5" s="42" t="inlineStr">
        <is>
          <t>Montadora</t>
        </is>
      </c>
      <c r="B5" s="42" t="inlineStr">
        <is>
          <t>VERDE_JAN</t>
        </is>
      </c>
      <c r="C5" s="42" t="inlineStr">
        <is>
          <t>VERDE_FEV</t>
        </is>
      </c>
      <c r="D5" s="42" t="inlineStr">
        <is>
          <t>VERDE_MAR</t>
        </is>
      </c>
      <c r="E5" s="42" t="inlineStr">
        <is>
          <t>VERDE_ABR</t>
        </is>
      </c>
      <c r="F5" s="42" t="inlineStr">
        <is>
          <t>VERDE_MAI</t>
        </is>
      </c>
      <c r="G5" s="42" t="inlineStr">
        <is>
          <t>VERDE_JUN</t>
        </is>
      </c>
      <c r="H5" s="42" t="inlineStr">
        <is>
          <t>VERDE_JUL</t>
        </is>
      </c>
      <c r="I5" s="42" t="inlineStr">
        <is>
          <t>VERDE_AGO</t>
        </is>
      </c>
      <c r="J5" s="42" t="inlineStr">
        <is>
          <t>VERDE_SET</t>
        </is>
      </c>
      <c r="K5" s="42" t="inlineStr">
        <is>
          <t>VERDE_OUT</t>
        </is>
      </c>
      <c r="L5" s="42" t="inlineStr">
        <is>
          <t>VERDE_NOV</t>
        </is>
      </c>
      <c r="M5" s="42" t="inlineStr">
        <is>
          <t>VERDE_DEZ</t>
        </is>
      </c>
      <c r="N5" s="42" t="inlineStr">
        <is>
          <t>LARANJA_JAN</t>
        </is>
      </c>
      <c r="O5" s="42" t="inlineStr">
        <is>
          <t>LARANJA_FEV</t>
        </is>
      </c>
      <c r="P5" s="42" t="inlineStr">
        <is>
          <t>LARANJA_MAR</t>
        </is>
      </c>
      <c r="Q5" s="42" t="inlineStr">
        <is>
          <t>LARANJA_ABR</t>
        </is>
      </c>
      <c r="R5" s="42" t="inlineStr">
        <is>
          <t>LARANJA_MAI</t>
        </is>
      </c>
      <c r="S5" s="42" t="inlineStr">
        <is>
          <t>LARANJA_JUN</t>
        </is>
      </c>
      <c r="T5" s="42" t="inlineStr">
        <is>
          <t>LARANJA_JUL</t>
        </is>
      </c>
      <c r="U5" s="42" t="inlineStr">
        <is>
          <t>LARANJA_AGO</t>
        </is>
      </c>
      <c r="V5" s="42" t="inlineStr">
        <is>
          <t>LARANJA_SET</t>
        </is>
      </c>
      <c r="W5" s="42" t="inlineStr">
        <is>
          <t>LARANJA_OUT</t>
        </is>
      </c>
      <c r="X5" s="42" t="inlineStr">
        <is>
          <t>LARANJA_NOV</t>
        </is>
      </c>
      <c r="Y5" s="42" t="inlineStr">
        <is>
          <t>LARANJA_DEZ</t>
        </is>
      </c>
      <c r="Z5" s="42" t="inlineStr">
        <is>
          <t>VERMELHO_JAN</t>
        </is>
      </c>
      <c r="AA5" s="42" t="inlineStr">
        <is>
          <t>VERMELHO_FEV</t>
        </is>
      </c>
      <c r="AB5" s="42" t="inlineStr">
        <is>
          <t>VERMELHO_MAR</t>
        </is>
      </c>
      <c r="AC5" s="42" t="inlineStr">
        <is>
          <t>VERMELHO_ABR</t>
        </is>
      </c>
      <c r="AD5" s="42" t="inlineStr">
        <is>
          <t>VERMELHO_MAI</t>
        </is>
      </c>
      <c r="AE5" s="42" t="inlineStr">
        <is>
          <t>VERMELHO_JUN</t>
        </is>
      </c>
      <c r="AF5" s="42" t="inlineStr">
        <is>
          <t>VERMELHO_JUL</t>
        </is>
      </c>
      <c r="AG5" s="42" t="inlineStr">
        <is>
          <t>VERMELHO_AGO</t>
        </is>
      </c>
      <c r="AH5" s="42" t="inlineStr">
        <is>
          <t>VERMELHO_SET</t>
        </is>
      </c>
      <c r="AI5" s="42" t="inlineStr">
        <is>
          <t>VERMELHO_OUT</t>
        </is>
      </c>
      <c r="AJ5" s="42" t="inlineStr">
        <is>
          <t>VERMELHO_NOV</t>
        </is>
      </c>
      <c r="AK5" s="42" t="inlineStr">
        <is>
          <t>VERMELHO_DEZ</t>
        </is>
      </c>
      <c r="AL5" s="42" t="inlineStr">
        <is>
          <t>META_JAN</t>
        </is>
      </c>
      <c r="AM5" s="42" t="inlineStr">
        <is>
          <t>META_FEV</t>
        </is>
      </c>
      <c r="AN5" s="42" t="inlineStr">
        <is>
          <t>META_MAR</t>
        </is>
      </c>
      <c r="AO5" s="42" t="inlineStr">
        <is>
          <t>META_ABR</t>
        </is>
      </c>
      <c r="AP5" s="42" t="inlineStr">
        <is>
          <t>META_MAI</t>
        </is>
      </c>
      <c r="AQ5" s="42" t="inlineStr">
        <is>
          <t>META_JUN</t>
        </is>
      </c>
      <c r="AR5" s="42" t="inlineStr">
        <is>
          <t>META_JUL</t>
        </is>
      </c>
      <c r="AS5" s="42" t="inlineStr">
        <is>
          <t>META_AGO</t>
        </is>
      </c>
      <c r="AT5" s="42" t="inlineStr">
        <is>
          <t>META_SET</t>
        </is>
      </c>
      <c r="AU5" s="42" t="inlineStr">
        <is>
          <t>META_OUT</t>
        </is>
      </c>
      <c r="AV5" s="42" t="inlineStr">
        <is>
          <t>META_NOV</t>
        </is>
      </c>
      <c r="AW5" s="42" t="inlineStr">
        <is>
          <t>META_DEZ</t>
        </is>
      </c>
      <c r="AX5" s="42" t="inlineStr">
        <is>
          <t>TENDENCIA_JAN</t>
        </is>
      </c>
      <c r="AY5" s="42" t="inlineStr">
        <is>
          <t>TENDENCIA_FEV</t>
        </is>
      </c>
      <c r="AZ5" s="42" t="inlineStr">
        <is>
          <t>TENDENCIA_MAR</t>
        </is>
      </c>
      <c r="BA5" s="42" t="inlineStr">
        <is>
          <t>TENDENCIA_ABR</t>
        </is>
      </c>
      <c r="BB5" s="42" t="inlineStr">
        <is>
          <t>TENDENCIA_MAI</t>
        </is>
      </c>
      <c r="BC5" s="42" t="inlineStr">
        <is>
          <t>TENDENCIA_JUN</t>
        </is>
      </c>
      <c r="BD5" s="42" t="inlineStr">
        <is>
          <t>TENDENCIA_JUL</t>
        </is>
      </c>
      <c r="BE5" s="42" t="inlineStr">
        <is>
          <t>TENDENCIA_AGO</t>
        </is>
      </c>
      <c r="BF5" s="42" t="inlineStr">
        <is>
          <t>TENDENCIA_SET</t>
        </is>
      </c>
      <c r="BG5" s="42" t="inlineStr">
        <is>
          <t>TENDENCIA_OUT</t>
        </is>
      </c>
      <c r="BH5" s="42" t="inlineStr">
        <is>
          <t>TENDENCIA_NOV</t>
        </is>
      </c>
      <c r="BI5" s="42" t="inlineStr">
        <is>
          <t>TENDENCIA_DEZ</t>
        </is>
      </c>
      <c r="BJ5" s="42" t="inlineStr">
        <is>
          <t>TITULO</t>
        </is>
      </c>
    </row>
    <row r="6">
      <c r="A6" s="42">
        <f>IF('Lançamento'!A6="","",'Lançamento'!A6)</f>
        <v/>
      </c>
      <c r="B6" s="43">
        <f>IF(AND(ISNUMBER('Lançamento'!B6),ROUND('Lançamento'!B6,6)&gt;=ROUND('Lançamento'!$H$3,6)),'Lançamento'!B6,0)</f>
        <v/>
      </c>
      <c r="C6" s="43">
        <f>IF(AND(ISNUMBER('Lançamento'!C6),ROUND('Lançamento'!C6,6)&gt;=ROUND('Lançamento'!$H$3,6)),'Lançamento'!C6,0)</f>
        <v/>
      </c>
      <c r="D6" s="43">
        <f>IF(AND(ISNUMBER('Lançamento'!D6),ROUND('Lançamento'!D6,6)&gt;=ROUND('Lançamento'!$H$3,6)),'Lançamento'!D6,0)</f>
        <v/>
      </c>
      <c r="E6" s="43">
        <f>IF(AND(ISNUMBER('Lançamento'!E6),ROUND('Lançamento'!E6,6)&gt;=ROUND('Lançamento'!$H$3,6)),'Lançamento'!E6,0)</f>
        <v/>
      </c>
      <c r="F6" s="43">
        <f>IF(AND(ISNUMBER('Lançamento'!F6),ROUND('Lançamento'!F6,6)&gt;=ROUND('Lançamento'!$H$3,6)),'Lançamento'!F6,0)</f>
        <v/>
      </c>
      <c r="G6" s="43">
        <f>IF(AND(ISNUMBER('Lançamento'!G6),ROUND('Lançamento'!G6,6)&gt;=ROUND('Lançamento'!$H$3,6)),'Lançamento'!G6,0)</f>
        <v/>
      </c>
      <c r="H6" s="43">
        <f>IF(AND(ISNUMBER('Lançamento'!H6),ROUND('Lançamento'!H6,6)&gt;=ROUND('Lançamento'!$H$3,6)),'Lançamento'!H6,0)</f>
        <v/>
      </c>
      <c r="I6" s="43">
        <f>IF(AND(ISNUMBER('Lançamento'!I6),ROUND('Lançamento'!I6,6)&gt;=ROUND('Lançamento'!$H$3,6)),'Lançamento'!I6,0)</f>
        <v/>
      </c>
      <c r="J6" s="43">
        <f>IF(AND(ISNUMBER('Lançamento'!J6),ROUND('Lançamento'!J6,6)&gt;=ROUND('Lançamento'!$H$3,6)),'Lançamento'!J6,0)</f>
        <v/>
      </c>
      <c r="K6" s="43">
        <f>IF(AND(ISNUMBER('Lançamento'!K6),ROUND('Lançamento'!K6,6)&gt;=ROUND('Lançamento'!$H$3,6)),'Lançamento'!K6,0)</f>
        <v/>
      </c>
      <c r="L6" s="43">
        <f>IF(AND(ISNUMBER('Lançamento'!L6),ROUND('Lançamento'!L6,6)&gt;=ROUND('Lançamento'!$H$3,6)),'Lançamento'!L6,0)</f>
        <v/>
      </c>
      <c r="M6" s="43">
        <f>IF(AND(ISNUMBER('Lançamento'!M6),ROUND('Lançamento'!M6,6)&gt;=ROUND('Lançamento'!$H$3,6)),'Lançamento'!M6,0)</f>
        <v/>
      </c>
      <c r="N6" s="43">
        <f>IF(AND(ISNUMBER('Lançamento'!B6),ROUND('Lançamento'!B6,6)&lt;ROUND('Lançamento'!$H$3,6),ROUND('Lançamento'!B6,6)&gt;=ROUND('Lançamento'!$K$3,6)),'Lançamento'!B6,0)</f>
        <v/>
      </c>
      <c r="O6" s="43">
        <f>IF(AND(ISNUMBER('Lançamento'!C6),ROUND('Lançamento'!C6,6)&lt;ROUND('Lançamento'!$H$3,6),ROUND('Lançamento'!C6,6)&gt;=ROUND('Lançamento'!$K$3,6)),'Lançamento'!C6,0)</f>
        <v/>
      </c>
      <c r="P6" s="43">
        <f>IF(AND(ISNUMBER('Lançamento'!D6),ROUND('Lançamento'!D6,6)&lt;ROUND('Lançamento'!$H$3,6),ROUND('Lançamento'!D6,6)&gt;=ROUND('Lançamento'!$K$3,6)),'Lançamento'!D6,0)</f>
        <v/>
      </c>
      <c r="Q6" s="43">
        <f>IF(AND(ISNUMBER('Lançamento'!E6),ROUND('Lançamento'!E6,6)&lt;ROUND('Lançamento'!$H$3,6),ROUND('Lançamento'!E6,6)&gt;=ROUND('Lançamento'!$K$3,6)),'Lançamento'!E6,0)</f>
        <v/>
      </c>
      <c r="R6" s="43">
        <f>IF(AND(ISNUMBER('Lançamento'!F6),ROUND('Lançamento'!F6,6)&lt;ROUND('Lançamento'!$H$3,6),ROUND('Lançamento'!F6,6)&gt;=ROUND('Lançamento'!$K$3,6)),'Lançamento'!F6,0)</f>
        <v/>
      </c>
      <c r="S6" s="43">
        <f>IF(AND(ISNUMBER('Lançamento'!G6),ROUND('Lançamento'!G6,6)&lt;ROUND('Lançamento'!$H$3,6),ROUND('Lançamento'!G6,6)&gt;=ROUND('Lançamento'!$K$3,6)),'Lançamento'!G6,0)</f>
        <v/>
      </c>
      <c r="T6" s="43">
        <f>IF(AND(ISNUMBER('Lançamento'!H6),ROUND('Lançamento'!H6,6)&lt;ROUND('Lançamento'!$H$3,6),ROUND('Lançamento'!H6,6)&gt;=ROUND('Lançamento'!$K$3,6)),'Lançamento'!H6,0)</f>
        <v/>
      </c>
      <c r="U6" s="43">
        <f>IF(AND(ISNUMBER('Lançamento'!I6),ROUND('Lançamento'!I6,6)&lt;ROUND('Lançamento'!$H$3,6),ROUND('Lançamento'!I6,6)&gt;=ROUND('Lançamento'!$K$3,6)),'Lançamento'!I6,0)</f>
        <v/>
      </c>
      <c r="V6" s="43">
        <f>IF(AND(ISNUMBER('Lançamento'!J6),ROUND('Lançamento'!J6,6)&lt;ROUND('Lançamento'!$H$3,6),ROUND('Lançamento'!J6,6)&gt;=ROUND('Lançamento'!$K$3,6)),'Lançamento'!J6,0)</f>
        <v/>
      </c>
      <c r="W6" s="43">
        <f>IF(AND(ISNUMBER('Lançamento'!K6),ROUND('Lançamento'!K6,6)&lt;ROUND('Lançamento'!$H$3,6),ROUND('Lançamento'!K6,6)&gt;=ROUND('Lançamento'!$K$3,6)),'Lançamento'!K6,0)</f>
        <v/>
      </c>
      <c r="X6" s="43">
        <f>IF(AND(ISNUMBER('Lançamento'!L6),ROUND('Lançamento'!L6,6)&lt;ROUND('Lançamento'!$H$3,6),ROUND('Lançamento'!L6,6)&gt;=ROUND('Lançamento'!$K$3,6)),'Lançamento'!L6,0)</f>
        <v/>
      </c>
      <c r="Y6" s="43">
        <f>IF(AND(ISNUMBER('Lançamento'!M6),ROUND('Lançamento'!M6,6)&lt;ROUND('Lançamento'!$H$3,6),ROUND('Lançamento'!M6,6)&gt;=ROUND('Lançamento'!$K$3,6)),'Lançamento'!M6,0)</f>
        <v/>
      </c>
      <c r="Z6" s="43">
        <f>IF(AND(ISNUMBER('Lançamento'!B6),ROUND('Lançamento'!B6,6)&lt;ROUND('Lançamento'!$K$3,6)),'Lançamento'!B6,0)</f>
        <v/>
      </c>
      <c r="AA6" s="43">
        <f>IF(AND(ISNUMBER('Lançamento'!C6),ROUND('Lançamento'!C6,6)&lt;ROUND('Lançamento'!$K$3,6)),'Lançamento'!C6,0)</f>
        <v/>
      </c>
      <c r="AB6" s="43">
        <f>IF(AND(ISNUMBER('Lançamento'!D6),ROUND('Lançamento'!D6,6)&lt;ROUND('Lançamento'!$K$3,6)),'Lançamento'!D6,0)</f>
        <v/>
      </c>
      <c r="AC6" s="43">
        <f>IF(AND(ISNUMBER('Lançamento'!E6),ROUND('Lançamento'!E6,6)&lt;ROUND('Lançamento'!$K$3,6)),'Lançamento'!E6,0)</f>
        <v/>
      </c>
      <c r="AD6" s="43">
        <f>IF(AND(ISNUMBER('Lançamento'!F6),ROUND('Lançamento'!F6,6)&lt;ROUND('Lançamento'!$K$3,6)),'Lançamento'!F6,0)</f>
        <v/>
      </c>
      <c r="AE6" s="43">
        <f>IF(AND(ISNUMBER('Lançamento'!G6),ROUND('Lançamento'!G6,6)&lt;ROUND('Lançamento'!$K$3,6)),'Lançamento'!G6,0)</f>
        <v/>
      </c>
      <c r="AF6" s="43">
        <f>IF(AND(ISNUMBER('Lançamento'!H6),ROUND('Lançamento'!H6,6)&lt;ROUND('Lançamento'!$K$3,6)),'Lançamento'!H6,0)</f>
        <v/>
      </c>
      <c r="AG6" s="43">
        <f>IF(AND(ISNUMBER('Lançamento'!I6),ROUND('Lançamento'!I6,6)&lt;ROUND('Lançamento'!$K$3,6)),'Lançamento'!I6,0)</f>
        <v/>
      </c>
      <c r="AH6" s="43">
        <f>IF(AND(ISNUMBER('Lançamento'!J6),ROUND('Lançamento'!J6,6)&lt;ROUND('Lançamento'!$K$3,6)),'Lançamento'!J6,0)</f>
        <v/>
      </c>
      <c r="AI6" s="43">
        <f>IF(AND(ISNUMBER('Lançamento'!K6),ROUND('Lançamento'!K6,6)&lt;ROUND('Lançamento'!$K$3,6)),'Lançamento'!K6,0)</f>
        <v/>
      </c>
      <c r="AJ6" s="43">
        <f>IF(AND(ISNUMBER('Lançamento'!L6),ROUND('Lançamento'!L6,6)&lt;ROUND('Lançamento'!$K$3,6)),'Lançamento'!L6,0)</f>
        <v/>
      </c>
      <c r="AK6" s="43">
        <f>IF(AND(ISNUMBER('Lançamento'!M6),ROUND('Lançamento'!M6,6)&lt;ROUND('Lançamento'!$K$3,6)),'Lançamento'!M6,0)</f>
        <v/>
      </c>
      <c r="AL6" s="42">
        <f>IF(ISNUMBER('Lançamento'!$N6),'Lançamento'!$N6,0)</f>
        <v/>
      </c>
      <c r="AM6" s="42">
        <f>IF(ISNUMBER('Lançamento'!$N6),'Lançamento'!$N6,0)</f>
        <v/>
      </c>
      <c r="AN6" s="42">
        <f>IF(ISNUMBER('Lançamento'!$N6),'Lançamento'!$N6,0)</f>
        <v/>
      </c>
      <c r="AO6" s="42">
        <f>IF(ISNUMBER('Lançamento'!$N6),'Lançamento'!$N6,0)</f>
        <v/>
      </c>
      <c r="AP6" s="42">
        <f>IF(ISNUMBER('Lançamento'!$N6),'Lançamento'!$N6,0)</f>
        <v/>
      </c>
      <c r="AQ6" s="42">
        <f>IF(ISNUMBER('Lançamento'!$N6),'Lançamento'!$N6,0)</f>
        <v/>
      </c>
      <c r="AR6" s="42">
        <f>IF(ISNUMBER('Lançamento'!$N6),'Lançamento'!$N6,0)</f>
        <v/>
      </c>
      <c r="AS6" s="42">
        <f>IF(ISNUMBER('Lançamento'!$N6),'Lançamento'!$N6,0)</f>
        <v/>
      </c>
      <c r="AT6" s="42">
        <f>IF(ISNUMBER('Lançamento'!$N6),'Lançamento'!$N6,0)</f>
        <v/>
      </c>
      <c r="AU6" s="42">
        <f>IF(ISNUMBER('Lançamento'!$N6),'Lançamento'!$N6,0)</f>
        <v/>
      </c>
      <c r="AV6" s="42">
        <f>IF(ISNUMBER('Lançamento'!$N6),'Lançamento'!$N6,0)</f>
        <v/>
      </c>
      <c r="AW6" s="42">
        <f>IF(ISNUMBER('Lançamento'!$N6),'Lançamento'!$N6,0)</f>
        <v/>
      </c>
      <c r="AX6" s="42">
        <f>NA()</f>
        <v/>
      </c>
      <c r="AY6" s="42">
        <f>NA()</f>
        <v/>
      </c>
      <c r="AZ6" s="42">
        <f>IF(COUNT('Lançamento'!B6:'Lançamento'!D6)=3,AVERAGE('Lançamento'!B6:'Lançamento'!D6),NA())</f>
        <v/>
      </c>
      <c r="BA6" s="42">
        <f>IF(COUNT('Lançamento'!C6:'Lançamento'!E6)=3,AVERAGE('Lançamento'!C6:'Lançamento'!E6),NA())</f>
        <v/>
      </c>
      <c r="BB6" s="42">
        <f>IF(COUNT('Lançamento'!D6:'Lançamento'!F6)=3,AVERAGE('Lançamento'!D6:'Lançamento'!F6),NA())</f>
        <v/>
      </c>
      <c r="BC6" s="42">
        <f>IF(COUNT('Lançamento'!E6:'Lançamento'!G6)=3,AVERAGE('Lançamento'!E6:'Lançamento'!G6),NA())</f>
        <v/>
      </c>
      <c r="BD6" s="42">
        <f>IF(COUNT('Lançamento'!F6:'Lançamento'!H6)=3,AVERAGE('Lançamento'!F6:'Lançamento'!H6),NA())</f>
        <v/>
      </c>
      <c r="BE6" s="42">
        <f>IF(COUNT('Lançamento'!G6:'Lançamento'!I6)=3,AVERAGE('Lançamento'!G6:'Lançamento'!I6),NA())</f>
        <v/>
      </c>
      <c r="BF6" s="42">
        <f>IF(COUNT('Lançamento'!H6:'Lançamento'!J6)=3,AVERAGE('Lançamento'!H6:'Lançamento'!J6),NA())</f>
        <v/>
      </c>
      <c r="BG6" s="42">
        <f>IF(COUNT('Lançamento'!I6:'Lançamento'!K6)=3,AVERAGE('Lançamento'!I6:'Lançamento'!K6),NA())</f>
        <v/>
      </c>
      <c r="BH6" s="42">
        <f>IF(COUNT('Lançamento'!J6:'Lançamento'!L6)=3,AVERAGE('Lançamento'!J6:'Lançamento'!L6),NA())</f>
        <v/>
      </c>
      <c r="BI6" s="42">
        <f>IF(COUNT('Lançamento'!K6:'Lançamento'!M6)=3,AVERAGE('Lançamento'!K6:'Lançamento'!M6),NA())</f>
        <v/>
      </c>
      <c r="BJ6" s="42">
        <f>IF('Lançamento'!A6="","",'Lançamento'!A6&amp;"   |   Média YTD: "&amp;IF('Lançamento'!O6="","-",ROUND('Lançamento'!O6*100,1)&amp;"%"))</f>
        <v/>
      </c>
    </row>
    <row r="7">
      <c r="A7" s="42">
        <f>IF('Lançamento'!A7="","",'Lançamento'!A7)</f>
        <v/>
      </c>
      <c r="B7" s="43">
        <f>IF(AND(ISNUMBER('Lançamento'!B7),ROUND('Lançamento'!B7,6)&gt;=ROUND('Lançamento'!$H$3,6)),'Lançamento'!B7,0)</f>
        <v/>
      </c>
      <c r="C7" s="43">
        <f>IF(AND(ISNUMBER('Lançamento'!C7),ROUND('Lançamento'!C7,6)&gt;=ROUND('Lançamento'!$H$3,6)),'Lançamento'!C7,0)</f>
        <v/>
      </c>
      <c r="D7" s="43">
        <f>IF(AND(ISNUMBER('Lançamento'!D7),ROUND('Lançamento'!D7,6)&gt;=ROUND('Lançamento'!$H$3,6)),'Lançamento'!D7,0)</f>
        <v/>
      </c>
      <c r="E7" s="43">
        <f>IF(AND(ISNUMBER('Lançamento'!E7),ROUND('Lançamento'!E7,6)&gt;=ROUND('Lançamento'!$H$3,6)),'Lançamento'!E7,0)</f>
        <v/>
      </c>
      <c r="F7" s="43">
        <f>IF(AND(ISNUMBER('Lançamento'!F7),ROUND('Lançamento'!F7,6)&gt;=ROUND('Lançamento'!$H$3,6)),'Lançamento'!F7,0)</f>
        <v/>
      </c>
      <c r="G7" s="43">
        <f>IF(AND(ISNUMBER('Lançamento'!G7),ROUND('Lançamento'!G7,6)&gt;=ROUND('Lançamento'!$H$3,6)),'Lançamento'!G7,0)</f>
        <v/>
      </c>
      <c r="H7" s="43">
        <f>IF(AND(ISNUMBER('Lançamento'!H7),ROUND('Lançamento'!H7,6)&gt;=ROUND('Lançamento'!$H$3,6)),'Lançamento'!H7,0)</f>
        <v/>
      </c>
      <c r="I7" s="43">
        <f>IF(AND(ISNUMBER('Lançamento'!I7),ROUND('Lançamento'!I7,6)&gt;=ROUND('Lançamento'!$H$3,6)),'Lançamento'!I7,0)</f>
        <v/>
      </c>
      <c r="J7" s="43">
        <f>IF(AND(ISNUMBER('Lançamento'!J7),ROUND('Lançamento'!J7,6)&gt;=ROUND('Lançamento'!$H$3,6)),'Lançamento'!J7,0)</f>
        <v/>
      </c>
      <c r="K7" s="43">
        <f>IF(AND(ISNUMBER('Lançamento'!K7),ROUND('Lançamento'!K7,6)&gt;=ROUND('Lançamento'!$H$3,6)),'Lançamento'!K7,0)</f>
        <v/>
      </c>
      <c r="L7" s="43">
        <f>IF(AND(ISNUMBER('Lançamento'!L7),ROUND('Lançamento'!L7,6)&gt;=ROUND('Lançamento'!$H$3,6)),'Lançamento'!L7,0)</f>
        <v/>
      </c>
      <c r="M7" s="43">
        <f>IF(AND(ISNUMBER('Lançamento'!M7),ROUND('Lançamento'!M7,6)&gt;=ROUND('Lançamento'!$H$3,6)),'Lançamento'!M7,0)</f>
        <v/>
      </c>
      <c r="N7" s="43">
        <f>IF(AND(ISNUMBER('Lançamento'!B7),ROUND('Lançamento'!B7,6)&lt;ROUND('Lançamento'!$H$3,6),ROUND('Lançamento'!B7,6)&gt;=ROUND('Lançamento'!$K$3,6)),'Lançamento'!B7,0)</f>
        <v/>
      </c>
      <c r="O7" s="43">
        <f>IF(AND(ISNUMBER('Lançamento'!C7),ROUND('Lançamento'!C7,6)&lt;ROUND('Lançamento'!$H$3,6),ROUND('Lançamento'!C7,6)&gt;=ROUND('Lançamento'!$K$3,6)),'Lançamento'!C7,0)</f>
        <v/>
      </c>
      <c r="P7" s="43">
        <f>IF(AND(ISNUMBER('Lançamento'!D7),ROUND('Lançamento'!D7,6)&lt;ROUND('Lançamento'!$H$3,6),ROUND('Lançamento'!D7,6)&gt;=ROUND('Lançamento'!$K$3,6)),'Lançamento'!D7,0)</f>
        <v/>
      </c>
      <c r="Q7" s="43">
        <f>IF(AND(ISNUMBER('Lançamento'!E7),ROUND('Lançamento'!E7,6)&lt;ROUND('Lançamento'!$H$3,6),ROUND('Lançamento'!E7,6)&gt;=ROUND('Lançamento'!$K$3,6)),'Lançamento'!E7,0)</f>
        <v/>
      </c>
      <c r="R7" s="43">
        <f>IF(AND(ISNUMBER('Lançamento'!F7),ROUND('Lançamento'!F7,6)&lt;ROUND('Lançamento'!$H$3,6),ROUND('Lançamento'!F7,6)&gt;=ROUND('Lançamento'!$K$3,6)),'Lançamento'!F7,0)</f>
        <v/>
      </c>
      <c r="S7" s="43">
        <f>IF(AND(ISNUMBER('Lançamento'!G7),ROUND('Lançamento'!G7,6)&lt;ROUND('Lançamento'!$H$3,6),ROUND('Lançamento'!G7,6)&gt;=ROUND('Lançamento'!$K$3,6)),'Lançamento'!G7,0)</f>
        <v/>
      </c>
      <c r="T7" s="43">
        <f>IF(AND(ISNUMBER('Lançamento'!H7),ROUND('Lançamento'!H7,6)&lt;ROUND('Lançamento'!$H$3,6),ROUND('Lançamento'!H7,6)&gt;=ROUND('Lançamento'!$K$3,6)),'Lançamento'!H7,0)</f>
        <v/>
      </c>
      <c r="U7" s="43">
        <f>IF(AND(ISNUMBER('Lançamento'!I7),ROUND('Lançamento'!I7,6)&lt;ROUND('Lançamento'!$H$3,6),ROUND('Lançamento'!I7,6)&gt;=ROUND('Lançamento'!$K$3,6)),'Lançamento'!I7,0)</f>
        <v/>
      </c>
      <c r="V7" s="43">
        <f>IF(AND(ISNUMBER('Lançamento'!J7),ROUND('Lançamento'!J7,6)&lt;ROUND('Lançamento'!$H$3,6),ROUND('Lançamento'!J7,6)&gt;=ROUND('Lançamento'!$K$3,6)),'Lançamento'!J7,0)</f>
        <v/>
      </c>
      <c r="W7" s="43">
        <f>IF(AND(ISNUMBER('Lançamento'!K7),ROUND('Lançamento'!K7,6)&lt;ROUND('Lançamento'!$H$3,6),ROUND('Lançamento'!K7,6)&gt;=ROUND('Lançamento'!$K$3,6)),'Lançamento'!K7,0)</f>
        <v/>
      </c>
      <c r="X7" s="43">
        <f>IF(AND(ISNUMBER('Lançamento'!L7),ROUND('Lançamento'!L7,6)&lt;ROUND('Lançamento'!$H$3,6),ROUND('Lançamento'!L7,6)&gt;=ROUND('Lançamento'!$K$3,6)),'Lançamento'!L7,0)</f>
        <v/>
      </c>
      <c r="Y7" s="43">
        <f>IF(AND(ISNUMBER('Lançamento'!M7),ROUND('Lançamento'!M7,6)&lt;ROUND('Lançamento'!$H$3,6),ROUND('Lançamento'!M7,6)&gt;=ROUND('Lançamento'!$K$3,6)),'Lançamento'!M7,0)</f>
        <v/>
      </c>
      <c r="Z7" s="43">
        <f>IF(AND(ISNUMBER('Lançamento'!B7),ROUND('Lançamento'!B7,6)&lt;ROUND('Lançamento'!$K$3,6)),'Lançamento'!B7,0)</f>
        <v/>
      </c>
      <c r="AA7" s="43">
        <f>IF(AND(ISNUMBER('Lançamento'!C7),ROUND('Lançamento'!C7,6)&lt;ROUND('Lançamento'!$K$3,6)),'Lançamento'!C7,0)</f>
        <v/>
      </c>
      <c r="AB7" s="43">
        <f>IF(AND(ISNUMBER('Lançamento'!D7),ROUND('Lançamento'!D7,6)&lt;ROUND('Lançamento'!$K$3,6)),'Lançamento'!D7,0)</f>
        <v/>
      </c>
      <c r="AC7" s="43">
        <f>IF(AND(ISNUMBER('Lançamento'!E7),ROUND('Lançamento'!E7,6)&lt;ROUND('Lançamento'!$K$3,6)),'Lançamento'!E7,0)</f>
        <v/>
      </c>
      <c r="AD7" s="43">
        <f>IF(AND(ISNUMBER('Lançamento'!F7),ROUND('Lançamento'!F7,6)&lt;ROUND('Lançamento'!$K$3,6)),'Lançamento'!F7,0)</f>
        <v/>
      </c>
      <c r="AE7" s="43">
        <f>IF(AND(ISNUMBER('Lançamento'!G7),ROUND('Lançamento'!G7,6)&lt;ROUND('Lançamento'!$K$3,6)),'Lançamento'!G7,0)</f>
        <v/>
      </c>
      <c r="AF7" s="43">
        <f>IF(AND(ISNUMBER('Lançamento'!H7),ROUND('Lançamento'!H7,6)&lt;ROUND('Lançamento'!$K$3,6)),'Lançamento'!H7,0)</f>
        <v/>
      </c>
      <c r="AG7" s="43">
        <f>IF(AND(ISNUMBER('Lançamento'!I7),ROUND('Lançamento'!I7,6)&lt;ROUND('Lançamento'!$K$3,6)),'Lançamento'!I7,0)</f>
        <v/>
      </c>
      <c r="AH7" s="43">
        <f>IF(AND(ISNUMBER('Lançamento'!J7),ROUND('Lançamento'!J7,6)&lt;ROUND('Lançamento'!$K$3,6)),'Lançamento'!J7,0)</f>
        <v/>
      </c>
      <c r="AI7" s="43">
        <f>IF(AND(ISNUMBER('Lançamento'!K7),ROUND('Lançamento'!K7,6)&lt;ROUND('Lançamento'!$K$3,6)),'Lançamento'!K7,0)</f>
        <v/>
      </c>
      <c r="AJ7" s="43">
        <f>IF(AND(ISNUMBER('Lançamento'!L7),ROUND('Lançamento'!L7,6)&lt;ROUND('Lançamento'!$K$3,6)),'Lançamento'!L7,0)</f>
        <v/>
      </c>
      <c r="AK7" s="43">
        <f>IF(AND(ISNUMBER('Lançamento'!M7),ROUND('Lançamento'!M7,6)&lt;ROUND('Lançamento'!$K$3,6)),'Lançamento'!M7,0)</f>
        <v/>
      </c>
      <c r="AL7" s="42">
        <f>IF(ISNUMBER('Lançamento'!$N7),'Lançamento'!$N7,0)</f>
        <v/>
      </c>
      <c r="AM7" s="42">
        <f>IF(ISNUMBER('Lançamento'!$N7),'Lançamento'!$N7,0)</f>
        <v/>
      </c>
      <c r="AN7" s="42">
        <f>IF(ISNUMBER('Lançamento'!$N7),'Lançamento'!$N7,0)</f>
        <v/>
      </c>
      <c r="AO7" s="42">
        <f>IF(ISNUMBER('Lançamento'!$N7),'Lançamento'!$N7,0)</f>
        <v/>
      </c>
      <c r="AP7" s="42">
        <f>IF(ISNUMBER('Lançamento'!$N7),'Lançamento'!$N7,0)</f>
        <v/>
      </c>
      <c r="AQ7" s="42">
        <f>IF(ISNUMBER('Lançamento'!$N7),'Lançamento'!$N7,0)</f>
        <v/>
      </c>
      <c r="AR7" s="42">
        <f>IF(ISNUMBER('Lançamento'!$N7),'Lançamento'!$N7,0)</f>
        <v/>
      </c>
      <c r="AS7" s="42">
        <f>IF(ISNUMBER('Lançamento'!$N7),'Lançamento'!$N7,0)</f>
        <v/>
      </c>
      <c r="AT7" s="42">
        <f>IF(ISNUMBER('Lançamento'!$N7),'Lançamento'!$N7,0)</f>
        <v/>
      </c>
      <c r="AU7" s="42">
        <f>IF(ISNUMBER('Lançamento'!$N7),'Lançamento'!$N7,0)</f>
        <v/>
      </c>
      <c r="AV7" s="42">
        <f>IF(ISNUMBER('Lançamento'!$N7),'Lançamento'!$N7,0)</f>
        <v/>
      </c>
      <c r="AW7" s="42">
        <f>IF(ISNUMBER('Lançamento'!$N7),'Lançamento'!$N7,0)</f>
        <v/>
      </c>
      <c r="AX7" s="42">
        <f>NA()</f>
        <v/>
      </c>
      <c r="AY7" s="42">
        <f>NA()</f>
        <v/>
      </c>
      <c r="AZ7" s="42">
        <f>IF(COUNT('Lançamento'!B7:'Lançamento'!D7)=3,AVERAGE('Lançamento'!B7:'Lançamento'!D7),NA())</f>
        <v/>
      </c>
      <c r="BA7" s="42">
        <f>IF(COUNT('Lançamento'!C7:'Lançamento'!E7)=3,AVERAGE('Lançamento'!C7:'Lançamento'!E7),NA())</f>
        <v/>
      </c>
      <c r="BB7" s="42">
        <f>IF(COUNT('Lançamento'!D7:'Lançamento'!F7)=3,AVERAGE('Lançamento'!D7:'Lançamento'!F7),NA())</f>
        <v/>
      </c>
      <c r="BC7" s="42">
        <f>IF(COUNT('Lançamento'!E7:'Lançamento'!G7)=3,AVERAGE('Lançamento'!E7:'Lançamento'!G7),NA())</f>
        <v/>
      </c>
      <c r="BD7" s="42">
        <f>IF(COUNT('Lançamento'!F7:'Lançamento'!H7)=3,AVERAGE('Lançamento'!F7:'Lançamento'!H7),NA())</f>
        <v/>
      </c>
      <c r="BE7" s="42">
        <f>IF(COUNT('Lançamento'!G7:'Lançamento'!I7)=3,AVERAGE('Lançamento'!G7:'Lançamento'!I7),NA())</f>
        <v/>
      </c>
      <c r="BF7" s="42">
        <f>IF(COUNT('Lançamento'!H7:'Lançamento'!J7)=3,AVERAGE('Lançamento'!H7:'Lançamento'!J7),NA())</f>
        <v/>
      </c>
      <c r="BG7" s="42">
        <f>IF(COUNT('Lançamento'!I7:'Lançamento'!K7)=3,AVERAGE('Lançamento'!I7:'Lançamento'!K7),NA())</f>
        <v/>
      </c>
      <c r="BH7" s="42">
        <f>IF(COUNT('Lançamento'!J7:'Lançamento'!L7)=3,AVERAGE('Lançamento'!J7:'Lançamento'!L7),NA())</f>
        <v/>
      </c>
      <c r="BI7" s="42">
        <f>IF(COUNT('Lançamento'!K7:'Lançamento'!M7)=3,AVERAGE('Lançamento'!K7:'Lançamento'!M7),NA())</f>
        <v/>
      </c>
      <c r="BJ7" s="42">
        <f>IF('Lançamento'!A7="","",'Lançamento'!A7&amp;"   |   Média YTD: "&amp;IF('Lançamento'!O7="","-",ROUND('Lançamento'!O7*100,1)&amp;"%"))</f>
        <v/>
      </c>
    </row>
    <row r="8">
      <c r="A8" s="42">
        <f>IF('Lançamento'!A8="","",'Lançamento'!A8)</f>
        <v/>
      </c>
      <c r="B8" s="43">
        <f>IF(AND(ISNUMBER('Lançamento'!B8),ROUND('Lançamento'!B8,6)&gt;=ROUND('Lançamento'!$H$3,6)),'Lançamento'!B8,0)</f>
        <v/>
      </c>
      <c r="C8" s="43">
        <f>IF(AND(ISNUMBER('Lançamento'!C8),ROUND('Lançamento'!C8,6)&gt;=ROUND('Lançamento'!$H$3,6)),'Lançamento'!C8,0)</f>
        <v/>
      </c>
      <c r="D8" s="43">
        <f>IF(AND(ISNUMBER('Lançamento'!D8),ROUND('Lançamento'!D8,6)&gt;=ROUND('Lançamento'!$H$3,6)),'Lançamento'!D8,0)</f>
        <v/>
      </c>
      <c r="E8" s="43">
        <f>IF(AND(ISNUMBER('Lançamento'!E8),ROUND('Lançamento'!E8,6)&gt;=ROUND('Lançamento'!$H$3,6)),'Lançamento'!E8,0)</f>
        <v/>
      </c>
      <c r="F8" s="43">
        <f>IF(AND(ISNUMBER('Lançamento'!F8),ROUND('Lançamento'!F8,6)&gt;=ROUND('Lançamento'!$H$3,6)),'Lançamento'!F8,0)</f>
        <v/>
      </c>
      <c r="G8" s="43">
        <f>IF(AND(ISNUMBER('Lançamento'!G8),ROUND('Lançamento'!G8,6)&gt;=ROUND('Lançamento'!$H$3,6)),'Lançamento'!G8,0)</f>
        <v/>
      </c>
      <c r="H8" s="43">
        <f>IF(AND(ISNUMBER('Lançamento'!H8),ROUND('Lançamento'!H8,6)&gt;=ROUND('Lançamento'!$H$3,6)),'Lançamento'!H8,0)</f>
        <v/>
      </c>
      <c r="I8" s="43">
        <f>IF(AND(ISNUMBER('Lançamento'!I8),ROUND('Lançamento'!I8,6)&gt;=ROUND('Lançamento'!$H$3,6)),'Lançamento'!I8,0)</f>
        <v/>
      </c>
      <c r="J8" s="43">
        <f>IF(AND(ISNUMBER('Lançamento'!J8),ROUND('Lançamento'!J8,6)&gt;=ROUND('Lançamento'!$H$3,6)),'Lançamento'!J8,0)</f>
        <v/>
      </c>
      <c r="K8" s="43">
        <f>IF(AND(ISNUMBER('Lançamento'!K8),ROUND('Lançamento'!K8,6)&gt;=ROUND('Lançamento'!$H$3,6)),'Lançamento'!K8,0)</f>
        <v/>
      </c>
      <c r="L8" s="43">
        <f>IF(AND(ISNUMBER('Lançamento'!L8),ROUND('Lançamento'!L8,6)&gt;=ROUND('Lançamento'!$H$3,6)),'Lançamento'!L8,0)</f>
        <v/>
      </c>
      <c r="M8" s="43">
        <f>IF(AND(ISNUMBER('Lançamento'!M8),ROUND('Lançamento'!M8,6)&gt;=ROUND('Lançamento'!$H$3,6)),'Lançamento'!M8,0)</f>
        <v/>
      </c>
      <c r="N8" s="43">
        <f>IF(AND(ISNUMBER('Lançamento'!B8),ROUND('Lançamento'!B8,6)&lt;ROUND('Lançamento'!$H$3,6),ROUND('Lançamento'!B8,6)&gt;=ROUND('Lançamento'!$K$3,6)),'Lançamento'!B8,0)</f>
        <v/>
      </c>
      <c r="O8" s="43">
        <f>IF(AND(ISNUMBER('Lançamento'!C8),ROUND('Lançamento'!C8,6)&lt;ROUND('Lançamento'!$H$3,6),ROUND('Lançamento'!C8,6)&gt;=ROUND('Lançamento'!$K$3,6)),'Lançamento'!C8,0)</f>
        <v/>
      </c>
      <c r="P8" s="43">
        <f>IF(AND(ISNUMBER('Lançamento'!D8),ROUND('Lançamento'!D8,6)&lt;ROUND('Lançamento'!$H$3,6),ROUND('Lançamento'!D8,6)&gt;=ROUND('Lançamento'!$K$3,6)),'Lançamento'!D8,0)</f>
        <v/>
      </c>
      <c r="Q8" s="43">
        <f>IF(AND(ISNUMBER('Lançamento'!E8),ROUND('Lançamento'!E8,6)&lt;ROUND('Lançamento'!$H$3,6),ROUND('Lançamento'!E8,6)&gt;=ROUND('Lançamento'!$K$3,6)),'Lançamento'!E8,0)</f>
        <v/>
      </c>
      <c r="R8" s="43">
        <f>IF(AND(ISNUMBER('Lançamento'!F8),ROUND('Lançamento'!F8,6)&lt;ROUND('Lançamento'!$H$3,6),ROUND('Lançamento'!F8,6)&gt;=ROUND('Lançamento'!$K$3,6)),'Lançamento'!F8,0)</f>
        <v/>
      </c>
      <c r="S8" s="43">
        <f>IF(AND(ISNUMBER('Lançamento'!G8),ROUND('Lançamento'!G8,6)&lt;ROUND('Lançamento'!$H$3,6),ROUND('Lançamento'!G8,6)&gt;=ROUND('Lançamento'!$K$3,6)),'Lançamento'!G8,0)</f>
        <v/>
      </c>
      <c r="T8" s="43">
        <f>IF(AND(ISNUMBER('Lançamento'!H8),ROUND('Lançamento'!H8,6)&lt;ROUND('Lançamento'!$H$3,6),ROUND('Lançamento'!H8,6)&gt;=ROUND('Lançamento'!$K$3,6)),'Lançamento'!H8,0)</f>
        <v/>
      </c>
      <c r="U8" s="43">
        <f>IF(AND(ISNUMBER('Lançamento'!I8),ROUND('Lançamento'!I8,6)&lt;ROUND('Lançamento'!$H$3,6),ROUND('Lançamento'!I8,6)&gt;=ROUND('Lançamento'!$K$3,6)),'Lançamento'!I8,0)</f>
        <v/>
      </c>
      <c r="V8" s="43">
        <f>IF(AND(ISNUMBER('Lançamento'!J8),ROUND('Lançamento'!J8,6)&lt;ROUND('Lançamento'!$H$3,6),ROUND('Lançamento'!J8,6)&gt;=ROUND('Lançamento'!$K$3,6)),'Lançamento'!J8,0)</f>
        <v/>
      </c>
      <c r="W8" s="43">
        <f>IF(AND(ISNUMBER('Lançamento'!K8),ROUND('Lançamento'!K8,6)&lt;ROUND('Lançamento'!$H$3,6),ROUND('Lançamento'!K8,6)&gt;=ROUND('Lançamento'!$K$3,6)),'Lançamento'!K8,0)</f>
        <v/>
      </c>
      <c r="X8" s="43">
        <f>IF(AND(ISNUMBER('Lançamento'!L8),ROUND('Lançamento'!L8,6)&lt;ROUND('Lançamento'!$H$3,6),ROUND('Lançamento'!L8,6)&gt;=ROUND('Lançamento'!$K$3,6)),'Lançamento'!L8,0)</f>
        <v/>
      </c>
      <c r="Y8" s="43">
        <f>IF(AND(ISNUMBER('Lançamento'!M8),ROUND('Lançamento'!M8,6)&lt;ROUND('Lançamento'!$H$3,6),ROUND('Lançamento'!M8,6)&gt;=ROUND('Lançamento'!$K$3,6)),'Lançamento'!M8,0)</f>
        <v/>
      </c>
      <c r="Z8" s="43">
        <f>IF(AND(ISNUMBER('Lançamento'!B8),ROUND('Lançamento'!B8,6)&lt;ROUND('Lançamento'!$K$3,6)),'Lançamento'!B8,0)</f>
        <v/>
      </c>
      <c r="AA8" s="43">
        <f>IF(AND(ISNUMBER('Lançamento'!C8),ROUND('Lançamento'!C8,6)&lt;ROUND('Lançamento'!$K$3,6)),'Lançamento'!C8,0)</f>
        <v/>
      </c>
      <c r="AB8" s="43">
        <f>IF(AND(ISNUMBER('Lançamento'!D8),ROUND('Lançamento'!D8,6)&lt;ROUND('Lançamento'!$K$3,6)),'Lançamento'!D8,0)</f>
        <v/>
      </c>
      <c r="AC8" s="43">
        <f>IF(AND(ISNUMBER('Lançamento'!E8),ROUND('Lançamento'!E8,6)&lt;ROUND('Lançamento'!$K$3,6)),'Lançamento'!E8,0)</f>
        <v/>
      </c>
      <c r="AD8" s="43">
        <f>IF(AND(ISNUMBER('Lançamento'!F8),ROUND('Lançamento'!F8,6)&lt;ROUND('Lançamento'!$K$3,6)),'Lançamento'!F8,0)</f>
        <v/>
      </c>
      <c r="AE8" s="43">
        <f>IF(AND(ISNUMBER('Lançamento'!G8),ROUND('Lançamento'!G8,6)&lt;ROUND('Lançamento'!$K$3,6)),'Lançamento'!G8,0)</f>
        <v/>
      </c>
      <c r="AF8" s="43">
        <f>IF(AND(ISNUMBER('Lançamento'!H8),ROUND('Lançamento'!H8,6)&lt;ROUND('Lançamento'!$K$3,6)),'Lançamento'!H8,0)</f>
        <v/>
      </c>
      <c r="AG8" s="43">
        <f>IF(AND(ISNUMBER('Lançamento'!I8),ROUND('Lançamento'!I8,6)&lt;ROUND('Lançamento'!$K$3,6)),'Lançamento'!I8,0)</f>
        <v/>
      </c>
      <c r="AH8" s="43">
        <f>IF(AND(ISNUMBER('Lançamento'!J8),ROUND('Lançamento'!J8,6)&lt;ROUND('Lançamento'!$K$3,6)),'Lançamento'!J8,0)</f>
        <v/>
      </c>
      <c r="AI8" s="43">
        <f>IF(AND(ISNUMBER('Lançamento'!K8),ROUND('Lançamento'!K8,6)&lt;ROUND('Lançamento'!$K$3,6)),'Lançamento'!K8,0)</f>
        <v/>
      </c>
      <c r="AJ8" s="43">
        <f>IF(AND(ISNUMBER('Lançamento'!L8),ROUND('Lançamento'!L8,6)&lt;ROUND('Lançamento'!$K$3,6)),'Lançamento'!L8,0)</f>
        <v/>
      </c>
      <c r="AK8" s="43">
        <f>IF(AND(ISNUMBER('Lançamento'!M8),ROUND('Lançamento'!M8,6)&lt;ROUND('Lançamento'!$K$3,6)),'Lançamento'!M8,0)</f>
        <v/>
      </c>
      <c r="AL8" s="42">
        <f>IF(ISNUMBER('Lançamento'!$N8),'Lançamento'!$N8,0)</f>
        <v/>
      </c>
      <c r="AM8" s="42">
        <f>IF(ISNUMBER('Lançamento'!$N8),'Lançamento'!$N8,0)</f>
        <v/>
      </c>
      <c r="AN8" s="42">
        <f>IF(ISNUMBER('Lançamento'!$N8),'Lançamento'!$N8,0)</f>
        <v/>
      </c>
      <c r="AO8" s="42">
        <f>IF(ISNUMBER('Lançamento'!$N8),'Lançamento'!$N8,0)</f>
        <v/>
      </c>
      <c r="AP8" s="42">
        <f>IF(ISNUMBER('Lançamento'!$N8),'Lançamento'!$N8,0)</f>
        <v/>
      </c>
      <c r="AQ8" s="42">
        <f>IF(ISNUMBER('Lançamento'!$N8),'Lançamento'!$N8,0)</f>
        <v/>
      </c>
      <c r="AR8" s="42">
        <f>IF(ISNUMBER('Lançamento'!$N8),'Lançamento'!$N8,0)</f>
        <v/>
      </c>
      <c r="AS8" s="42">
        <f>IF(ISNUMBER('Lançamento'!$N8),'Lançamento'!$N8,0)</f>
        <v/>
      </c>
      <c r="AT8" s="42">
        <f>IF(ISNUMBER('Lançamento'!$N8),'Lançamento'!$N8,0)</f>
        <v/>
      </c>
      <c r="AU8" s="42">
        <f>IF(ISNUMBER('Lançamento'!$N8),'Lançamento'!$N8,0)</f>
        <v/>
      </c>
      <c r="AV8" s="42">
        <f>IF(ISNUMBER('Lançamento'!$N8),'Lançamento'!$N8,0)</f>
        <v/>
      </c>
      <c r="AW8" s="42">
        <f>IF(ISNUMBER('Lançamento'!$N8),'Lançamento'!$N8,0)</f>
        <v/>
      </c>
      <c r="AX8" s="42">
        <f>NA()</f>
        <v/>
      </c>
      <c r="AY8" s="42">
        <f>NA()</f>
        <v/>
      </c>
      <c r="AZ8" s="42">
        <f>IF(COUNT('Lançamento'!B8:'Lançamento'!D8)=3,AVERAGE('Lançamento'!B8:'Lançamento'!D8),NA())</f>
        <v/>
      </c>
      <c r="BA8" s="42">
        <f>IF(COUNT('Lançamento'!C8:'Lançamento'!E8)=3,AVERAGE('Lançamento'!C8:'Lançamento'!E8),NA())</f>
        <v/>
      </c>
      <c r="BB8" s="42">
        <f>IF(COUNT('Lançamento'!D8:'Lançamento'!F8)=3,AVERAGE('Lançamento'!D8:'Lançamento'!F8),NA())</f>
        <v/>
      </c>
      <c r="BC8" s="42">
        <f>IF(COUNT('Lançamento'!E8:'Lançamento'!G8)=3,AVERAGE('Lançamento'!E8:'Lançamento'!G8),NA())</f>
        <v/>
      </c>
      <c r="BD8" s="42">
        <f>IF(COUNT('Lançamento'!F8:'Lançamento'!H8)=3,AVERAGE('Lançamento'!F8:'Lançamento'!H8),NA())</f>
        <v/>
      </c>
      <c r="BE8" s="42">
        <f>IF(COUNT('Lançamento'!G8:'Lançamento'!I8)=3,AVERAGE('Lançamento'!G8:'Lançamento'!I8),NA())</f>
        <v/>
      </c>
      <c r="BF8" s="42">
        <f>IF(COUNT('Lançamento'!H8:'Lançamento'!J8)=3,AVERAGE('Lançamento'!H8:'Lançamento'!J8),NA())</f>
        <v/>
      </c>
      <c r="BG8" s="42">
        <f>IF(COUNT('Lançamento'!I8:'Lançamento'!K8)=3,AVERAGE('Lançamento'!I8:'Lançamento'!K8),NA())</f>
        <v/>
      </c>
      <c r="BH8" s="42">
        <f>IF(COUNT('Lançamento'!J8:'Lançamento'!L8)=3,AVERAGE('Lançamento'!J8:'Lançamento'!L8),NA())</f>
        <v/>
      </c>
      <c r="BI8" s="42">
        <f>IF(COUNT('Lançamento'!K8:'Lançamento'!M8)=3,AVERAGE('Lançamento'!K8:'Lançamento'!M8),NA())</f>
        <v/>
      </c>
      <c r="BJ8" s="42">
        <f>IF('Lançamento'!A8="","",'Lançamento'!A8&amp;"   |   Média YTD: "&amp;IF('Lançamento'!O8="","-",ROUND('Lançamento'!O8*100,1)&amp;"%"))</f>
        <v/>
      </c>
    </row>
    <row r="9">
      <c r="A9" s="42">
        <f>IF('Lançamento'!A9="","",'Lançamento'!A9)</f>
        <v/>
      </c>
      <c r="B9" s="43">
        <f>IF(AND(ISNUMBER('Lançamento'!B9),ROUND('Lançamento'!B9,6)&gt;=ROUND('Lançamento'!$H$3,6)),'Lançamento'!B9,0)</f>
        <v/>
      </c>
      <c r="C9" s="43">
        <f>IF(AND(ISNUMBER('Lançamento'!C9),ROUND('Lançamento'!C9,6)&gt;=ROUND('Lançamento'!$H$3,6)),'Lançamento'!C9,0)</f>
        <v/>
      </c>
      <c r="D9" s="43">
        <f>IF(AND(ISNUMBER('Lançamento'!D9),ROUND('Lançamento'!D9,6)&gt;=ROUND('Lançamento'!$H$3,6)),'Lançamento'!D9,0)</f>
        <v/>
      </c>
      <c r="E9" s="43">
        <f>IF(AND(ISNUMBER('Lançamento'!E9),ROUND('Lançamento'!E9,6)&gt;=ROUND('Lançamento'!$H$3,6)),'Lançamento'!E9,0)</f>
        <v/>
      </c>
      <c r="F9" s="43">
        <f>IF(AND(ISNUMBER('Lançamento'!F9),ROUND('Lançamento'!F9,6)&gt;=ROUND('Lançamento'!$H$3,6)),'Lançamento'!F9,0)</f>
        <v/>
      </c>
      <c r="G9" s="43">
        <f>IF(AND(ISNUMBER('Lançamento'!G9),ROUND('Lançamento'!G9,6)&gt;=ROUND('Lançamento'!$H$3,6)),'Lançamento'!G9,0)</f>
        <v/>
      </c>
      <c r="H9" s="43">
        <f>IF(AND(ISNUMBER('Lançamento'!H9),ROUND('Lançamento'!H9,6)&gt;=ROUND('Lançamento'!$H$3,6)),'Lançamento'!H9,0)</f>
        <v/>
      </c>
      <c r="I9" s="43">
        <f>IF(AND(ISNUMBER('Lançamento'!I9),ROUND('Lançamento'!I9,6)&gt;=ROUND('Lançamento'!$H$3,6)),'Lançamento'!I9,0)</f>
        <v/>
      </c>
      <c r="J9" s="43">
        <f>IF(AND(ISNUMBER('Lançamento'!J9),ROUND('Lançamento'!J9,6)&gt;=ROUND('Lançamento'!$H$3,6)),'Lançamento'!J9,0)</f>
        <v/>
      </c>
      <c r="K9" s="43">
        <f>IF(AND(ISNUMBER('Lançamento'!K9),ROUND('Lançamento'!K9,6)&gt;=ROUND('Lançamento'!$H$3,6)),'Lançamento'!K9,0)</f>
        <v/>
      </c>
      <c r="L9" s="43">
        <f>IF(AND(ISNUMBER('Lançamento'!L9),ROUND('Lançamento'!L9,6)&gt;=ROUND('Lançamento'!$H$3,6)),'Lançamento'!L9,0)</f>
        <v/>
      </c>
      <c r="M9" s="43">
        <f>IF(AND(ISNUMBER('Lançamento'!M9),ROUND('Lançamento'!M9,6)&gt;=ROUND('Lançamento'!$H$3,6)),'Lançamento'!M9,0)</f>
        <v/>
      </c>
      <c r="N9" s="43">
        <f>IF(AND(ISNUMBER('Lançamento'!B9),ROUND('Lançamento'!B9,6)&lt;ROUND('Lançamento'!$H$3,6),ROUND('Lançamento'!B9,6)&gt;=ROUND('Lançamento'!$K$3,6)),'Lançamento'!B9,0)</f>
        <v/>
      </c>
      <c r="O9" s="43">
        <f>IF(AND(ISNUMBER('Lançamento'!C9),ROUND('Lançamento'!C9,6)&lt;ROUND('Lançamento'!$H$3,6),ROUND('Lançamento'!C9,6)&gt;=ROUND('Lançamento'!$K$3,6)),'Lançamento'!C9,0)</f>
        <v/>
      </c>
      <c r="P9" s="43">
        <f>IF(AND(ISNUMBER('Lançamento'!D9),ROUND('Lançamento'!D9,6)&lt;ROUND('Lançamento'!$H$3,6),ROUND('Lançamento'!D9,6)&gt;=ROUND('Lançamento'!$K$3,6)),'Lançamento'!D9,0)</f>
        <v/>
      </c>
      <c r="Q9" s="43">
        <f>IF(AND(ISNUMBER('Lançamento'!E9),ROUND('Lançamento'!E9,6)&lt;ROUND('Lançamento'!$H$3,6),ROUND('Lançamento'!E9,6)&gt;=ROUND('Lançamento'!$K$3,6)),'Lançamento'!E9,0)</f>
        <v/>
      </c>
      <c r="R9" s="43">
        <f>IF(AND(ISNUMBER('Lançamento'!F9),ROUND('Lançamento'!F9,6)&lt;ROUND('Lançamento'!$H$3,6),ROUND('Lançamento'!F9,6)&gt;=ROUND('Lançamento'!$K$3,6)),'Lançamento'!F9,0)</f>
        <v/>
      </c>
      <c r="S9" s="43">
        <f>IF(AND(ISNUMBER('Lançamento'!G9),ROUND('Lançamento'!G9,6)&lt;ROUND('Lançamento'!$H$3,6),ROUND('Lançamento'!G9,6)&gt;=ROUND('Lançamento'!$K$3,6)),'Lançamento'!G9,0)</f>
        <v/>
      </c>
      <c r="T9" s="43">
        <f>IF(AND(ISNUMBER('Lançamento'!H9),ROUND('Lançamento'!H9,6)&lt;ROUND('Lançamento'!$H$3,6),ROUND('Lançamento'!H9,6)&gt;=ROUND('Lançamento'!$K$3,6)),'Lançamento'!H9,0)</f>
        <v/>
      </c>
      <c r="U9" s="43">
        <f>IF(AND(ISNUMBER('Lançamento'!I9),ROUND('Lançamento'!I9,6)&lt;ROUND('Lançamento'!$H$3,6),ROUND('Lançamento'!I9,6)&gt;=ROUND('Lançamento'!$K$3,6)),'Lançamento'!I9,0)</f>
        <v/>
      </c>
      <c r="V9" s="43">
        <f>IF(AND(ISNUMBER('Lançamento'!J9),ROUND('Lançamento'!J9,6)&lt;ROUND('Lançamento'!$H$3,6),ROUND('Lançamento'!J9,6)&gt;=ROUND('Lançamento'!$K$3,6)),'Lançamento'!J9,0)</f>
        <v/>
      </c>
      <c r="W9" s="43">
        <f>IF(AND(ISNUMBER('Lançamento'!K9),ROUND('Lançamento'!K9,6)&lt;ROUND('Lançamento'!$H$3,6),ROUND('Lançamento'!K9,6)&gt;=ROUND('Lançamento'!$K$3,6)),'Lançamento'!K9,0)</f>
        <v/>
      </c>
      <c r="X9" s="43">
        <f>IF(AND(ISNUMBER('Lançamento'!L9),ROUND('Lançamento'!L9,6)&lt;ROUND('Lançamento'!$H$3,6),ROUND('Lançamento'!L9,6)&gt;=ROUND('Lançamento'!$K$3,6)),'Lançamento'!L9,0)</f>
        <v/>
      </c>
      <c r="Y9" s="43">
        <f>IF(AND(ISNUMBER('Lançamento'!M9),ROUND('Lançamento'!M9,6)&lt;ROUND('Lançamento'!$H$3,6),ROUND('Lançamento'!M9,6)&gt;=ROUND('Lançamento'!$K$3,6)),'Lançamento'!M9,0)</f>
        <v/>
      </c>
      <c r="Z9" s="43">
        <f>IF(AND(ISNUMBER('Lançamento'!B9),ROUND('Lançamento'!B9,6)&lt;ROUND('Lançamento'!$K$3,6)),'Lançamento'!B9,0)</f>
        <v/>
      </c>
      <c r="AA9" s="43">
        <f>IF(AND(ISNUMBER('Lançamento'!C9),ROUND('Lançamento'!C9,6)&lt;ROUND('Lançamento'!$K$3,6)),'Lançamento'!C9,0)</f>
        <v/>
      </c>
      <c r="AB9" s="43">
        <f>IF(AND(ISNUMBER('Lançamento'!D9),ROUND('Lançamento'!D9,6)&lt;ROUND('Lançamento'!$K$3,6)),'Lançamento'!D9,0)</f>
        <v/>
      </c>
      <c r="AC9" s="43">
        <f>IF(AND(ISNUMBER('Lançamento'!E9),ROUND('Lançamento'!E9,6)&lt;ROUND('Lançamento'!$K$3,6)),'Lançamento'!E9,0)</f>
        <v/>
      </c>
      <c r="AD9" s="43">
        <f>IF(AND(ISNUMBER('Lançamento'!F9),ROUND('Lançamento'!F9,6)&lt;ROUND('Lançamento'!$K$3,6)),'Lançamento'!F9,0)</f>
        <v/>
      </c>
      <c r="AE9" s="43">
        <f>IF(AND(ISNUMBER('Lançamento'!G9),ROUND('Lançamento'!G9,6)&lt;ROUND('Lançamento'!$K$3,6)),'Lançamento'!G9,0)</f>
        <v/>
      </c>
      <c r="AF9" s="43">
        <f>IF(AND(ISNUMBER('Lançamento'!H9),ROUND('Lançamento'!H9,6)&lt;ROUND('Lançamento'!$K$3,6)),'Lançamento'!H9,0)</f>
        <v/>
      </c>
      <c r="AG9" s="43">
        <f>IF(AND(ISNUMBER('Lançamento'!I9),ROUND('Lançamento'!I9,6)&lt;ROUND('Lançamento'!$K$3,6)),'Lançamento'!I9,0)</f>
        <v/>
      </c>
      <c r="AH9" s="43">
        <f>IF(AND(ISNUMBER('Lançamento'!J9),ROUND('Lançamento'!J9,6)&lt;ROUND('Lançamento'!$K$3,6)),'Lançamento'!J9,0)</f>
        <v/>
      </c>
      <c r="AI9" s="43">
        <f>IF(AND(ISNUMBER('Lançamento'!K9),ROUND('Lançamento'!K9,6)&lt;ROUND('Lançamento'!$K$3,6)),'Lançamento'!K9,0)</f>
        <v/>
      </c>
      <c r="AJ9" s="43">
        <f>IF(AND(ISNUMBER('Lançamento'!L9),ROUND('Lançamento'!L9,6)&lt;ROUND('Lançamento'!$K$3,6)),'Lançamento'!L9,0)</f>
        <v/>
      </c>
      <c r="AK9" s="43">
        <f>IF(AND(ISNUMBER('Lançamento'!M9),ROUND('Lançamento'!M9,6)&lt;ROUND('Lançamento'!$K$3,6)),'Lançamento'!M9,0)</f>
        <v/>
      </c>
      <c r="AL9" s="42">
        <f>IF(ISNUMBER('Lançamento'!$N9),'Lançamento'!$N9,0)</f>
        <v/>
      </c>
      <c r="AM9" s="42">
        <f>IF(ISNUMBER('Lançamento'!$N9),'Lançamento'!$N9,0)</f>
        <v/>
      </c>
      <c r="AN9" s="42">
        <f>IF(ISNUMBER('Lançamento'!$N9),'Lançamento'!$N9,0)</f>
        <v/>
      </c>
      <c r="AO9" s="42">
        <f>IF(ISNUMBER('Lançamento'!$N9),'Lançamento'!$N9,0)</f>
        <v/>
      </c>
      <c r="AP9" s="42">
        <f>IF(ISNUMBER('Lançamento'!$N9),'Lançamento'!$N9,0)</f>
        <v/>
      </c>
      <c r="AQ9" s="42">
        <f>IF(ISNUMBER('Lançamento'!$N9),'Lançamento'!$N9,0)</f>
        <v/>
      </c>
      <c r="AR9" s="42">
        <f>IF(ISNUMBER('Lançamento'!$N9),'Lançamento'!$N9,0)</f>
        <v/>
      </c>
      <c r="AS9" s="42">
        <f>IF(ISNUMBER('Lançamento'!$N9),'Lançamento'!$N9,0)</f>
        <v/>
      </c>
      <c r="AT9" s="42">
        <f>IF(ISNUMBER('Lançamento'!$N9),'Lançamento'!$N9,0)</f>
        <v/>
      </c>
      <c r="AU9" s="42">
        <f>IF(ISNUMBER('Lançamento'!$N9),'Lançamento'!$N9,0)</f>
        <v/>
      </c>
      <c r="AV9" s="42">
        <f>IF(ISNUMBER('Lançamento'!$N9),'Lançamento'!$N9,0)</f>
        <v/>
      </c>
      <c r="AW9" s="42">
        <f>IF(ISNUMBER('Lançamento'!$N9),'Lançamento'!$N9,0)</f>
        <v/>
      </c>
      <c r="AX9" s="42">
        <f>NA()</f>
        <v/>
      </c>
      <c r="AY9" s="42">
        <f>NA()</f>
        <v/>
      </c>
      <c r="AZ9" s="42">
        <f>IF(COUNT('Lançamento'!B9:'Lançamento'!D9)=3,AVERAGE('Lançamento'!B9:'Lançamento'!D9),NA())</f>
        <v/>
      </c>
      <c r="BA9" s="42">
        <f>IF(COUNT('Lançamento'!C9:'Lançamento'!E9)=3,AVERAGE('Lançamento'!C9:'Lançamento'!E9),NA())</f>
        <v/>
      </c>
      <c r="BB9" s="42">
        <f>IF(COUNT('Lançamento'!D9:'Lançamento'!F9)=3,AVERAGE('Lançamento'!D9:'Lançamento'!F9),NA())</f>
        <v/>
      </c>
      <c r="BC9" s="42">
        <f>IF(COUNT('Lançamento'!E9:'Lançamento'!G9)=3,AVERAGE('Lançamento'!E9:'Lançamento'!G9),NA())</f>
        <v/>
      </c>
      <c r="BD9" s="42">
        <f>IF(COUNT('Lançamento'!F9:'Lançamento'!H9)=3,AVERAGE('Lançamento'!F9:'Lançamento'!H9),NA())</f>
        <v/>
      </c>
      <c r="BE9" s="42">
        <f>IF(COUNT('Lançamento'!G9:'Lançamento'!I9)=3,AVERAGE('Lançamento'!G9:'Lançamento'!I9),NA())</f>
        <v/>
      </c>
      <c r="BF9" s="42">
        <f>IF(COUNT('Lançamento'!H9:'Lançamento'!J9)=3,AVERAGE('Lançamento'!H9:'Lançamento'!J9),NA())</f>
        <v/>
      </c>
      <c r="BG9" s="42">
        <f>IF(COUNT('Lançamento'!I9:'Lançamento'!K9)=3,AVERAGE('Lançamento'!I9:'Lançamento'!K9),NA())</f>
        <v/>
      </c>
      <c r="BH9" s="42">
        <f>IF(COUNT('Lançamento'!J9:'Lançamento'!L9)=3,AVERAGE('Lançamento'!J9:'Lançamento'!L9),NA())</f>
        <v/>
      </c>
      <c r="BI9" s="42">
        <f>IF(COUNT('Lançamento'!K9:'Lançamento'!M9)=3,AVERAGE('Lançamento'!K9:'Lançamento'!M9),NA())</f>
        <v/>
      </c>
      <c r="BJ9" s="42">
        <f>IF('Lançamento'!A9="","",'Lançamento'!A9&amp;"   |   Média YTD: "&amp;IF('Lançamento'!O9="","-",ROUND('Lançamento'!O9*100,1)&amp;"%"))</f>
        <v/>
      </c>
    </row>
    <row r="10">
      <c r="A10" s="42">
        <f>IF('Lançamento'!A10="","",'Lançamento'!A10)</f>
        <v/>
      </c>
      <c r="B10" s="43">
        <f>IF(AND(ISNUMBER('Lançamento'!B10),ROUND('Lançamento'!B10,6)&gt;=ROUND('Lançamento'!$H$3,6)),'Lançamento'!B10,0)</f>
        <v/>
      </c>
      <c r="C10" s="43">
        <f>IF(AND(ISNUMBER('Lançamento'!C10),ROUND('Lançamento'!C10,6)&gt;=ROUND('Lançamento'!$H$3,6)),'Lançamento'!C10,0)</f>
        <v/>
      </c>
      <c r="D10" s="43">
        <f>IF(AND(ISNUMBER('Lançamento'!D10),ROUND('Lançamento'!D10,6)&gt;=ROUND('Lançamento'!$H$3,6)),'Lançamento'!D10,0)</f>
        <v/>
      </c>
      <c r="E10" s="43">
        <f>IF(AND(ISNUMBER('Lançamento'!E10),ROUND('Lançamento'!E10,6)&gt;=ROUND('Lançamento'!$H$3,6)),'Lançamento'!E10,0)</f>
        <v/>
      </c>
      <c r="F10" s="43">
        <f>IF(AND(ISNUMBER('Lançamento'!F10),ROUND('Lançamento'!F10,6)&gt;=ROUND('Lançamento'!$H$3,6)),'Lançamento'!F10,0)</f>
        <v/>
      </c>
      <c r="G10" s="43">
        <f>IF(AND(ISNUMBER('Lançamento'!G10),ROUND('Lançamento'!G10,6)&gt;=ROUND('Lançamento'!$H$3,6)),'Lançamento'!G10,0)</f>
        <v/>
      </c>
      <c r="H10" s="43">
        <f>IF(AND(ISNUMBER('Lançamento'!H10),ROUND('Lançamento'!H10,6)&gt;=ROUND('Lançamento'!$H$3,6)),'Lançamento'!H10,0)</f>
        <v/>
      </c>
      <c r="I10" s="43">
        <f>IF(AND(ISNUMBER('Lançamento'!I10),ROUND('Lançamento'!I10,6)&gt;=ROUND('Lançamento'!$H$3,6)),'Lançamento'!I10,0)</f>
        <v/>
      </c>
      <c r="J10" s="43">
        <f>IF(AND(ISNUMBER('Lançamento'!J10),ROUND('Lançamento'!J10,6)&gt;=ROUND('Lançamento'!$H$3,6)),'Lançamento'!J10,0)</f>
        <v/>
      </c>
      <c r="K10" s="43">
        <f>IF(AND(ISNUMBER('Lançamento'!K10),ROUND('Lançamento'!K10,6)&gt;=ROUND('Lançamento'!$H$3,6)),'Lançamento'!K10,0)</f>
        <v/>
      </c>
      <c r="L10" s="43">
        <f>IF(AND(ISNUMBER('Lançamento'!L10),ROUND('Lançamento'!L10,6)&gt;=ROUND('Lançamento'!$H$3,6)),'Lançamento'!L10,0)</f>
        <v/>
      </c>
      <c r="M10" s="43">
        <f>IF(AND(ISNUMBER('Lançamento'!M10),ROUND('Lançamento'!M10,6)&gt;=ROUND('Lançamento'!$H$3,6)),'Lançamento'!M10,0)</f>
        <v/>
      </c>
      <c r="N10" s="43">
        <f>IF(AND(ISNUMBER('Lançamento'!B10),ROUND('Lançamento'!B10,6)&lt;ROUND('Lançamento'!$H$3,6),ROUND('Lançamento'!B10,6)&gt;=ROUND('Lançamento'!$K$3,6)),'Lançamento'!B10,0)</f>
        <v/>
      </c>
      <c r="O10" s="43">
        <f>IF(AND(ISNUMBER('Lançamento'!C10),ROUND('Lançamento'!C10,6)&lt;ROUND('Lançamento'!$H$3,6),ROUND('Lançamento'!C10,6)&gt;=ROUND('Lançamento'!$K$3,6)),'Lançamento'!C10,0)</f>
        <v/>
      </c>
      <c r="P10" s="43">
        <f>IF(AND(ISNUMBER('Lançamento'!D10),ROUND('Lançamento'!D10,6)&lt;ROUND('Lançamento'!$H$3,6),ROUND('Lançamento'!D10,6)&gt;=ROUND('Lançamento'!$K$3,6)),'Lançamento'!D10,0)</f>
        <v/>
      </c>
      <c r="Q10" s="43">
        <f>IF(AND(ISNUMBER('Lançamento'!E10),ROUND('Lançamento'!E10,6)&lt;ROUND('Lançamento'!$H$3,6),ROUND('Lançamento'!E10,6)&gt;=ROUND('Lançamento'!$K$3,6)),'Lançamento'!E10,0)</f>
        <v/>
      </c>
      <c r="R10" s="43">
        <f>IF(AND(ISNUMBER('Lançamento'!F10),ROUND('Lançamento'!F10,6)&lt;ROUND('Lançamento'!$H$3,6),ROUND('Lançamento'!F10,6)&gt;=ROUND('Lançamento'!$K$3,6)),'Lançamento'!F10,0)</f>
        <v/>
      </c>
      <c r="S10" s="43">
        <f>IF(AND(ISNUMBER('Lançamento'!G10),ROUND('Lançamento'!G10,6)&lt;ROUND('Lançamento'!$H$3,6),ROUND('Lançamento'!G10,6)&gt;=ROUND('Lançamento'!$K$3,6)),'Lançamento'!G10,0)</f>
        <v/>
      </c>
      <c r="T10" s="43">
        <f>IF(AND(ISNUMBER('Lançamento'!H10),ROUND('Lançamento'!H10,6)&lt;ROUND('Lançamento'!$H$3,6),ROUND('Lançamento'!H10,6)&gt;=ROUND('Lançamento'!$K$3,6)),'Lançamento'!H10,0)</f>
        <v/>
      </c>
      <c r="U10" s="43">
        <f>IF(AND(ISNUMBER('Lançamento'!I10),ROUND('Lançamento'!I10,6)&lt;ROUND('Lançamento'!$H$3,6),ROUND('Lançamento'!I10,6)&gt;=ROUND('Lançamento'!$K$3,6)),'Lançamento'!I10,0)</f>
        <v/>
      </c>
      <c r="V10" s="43">
        <f>IF(AND(ISNUMBER('Lançamento'!J10),ROUND('Lançamento'!J10,6)&lt;ROUND('Lançamento'!$H$3,6),ROUND('Lançamento'!J10,6)&gt;=ROUND('Lançamento'!$K$3,6)),'Lançamento'!J10,0)</f>
        <v/>
      </c>
      <c r="W10" s="43">
        <f>IF(AND(ISNUMBER('Lançamento'!K10),ROUND('Lançamento'!K10,6)&lt;ROUND('Lançamento'!$H$3,6),ROUND('Lançamento'!K10,6)&gt;=ROUND('Lançamento'!$K$3,6)),'Lançamento'!K10,0)</f>
        <v/>
      </c>
      <c r="X10" s="43">
        <f>IF(AND(ISNUMBER('Lançamento'!L10),ROUND('Lançamento'!L10,6)&lt;ROUND('Lançamento'!$H$3,6),ROUND('Lançamento'!L10,6)&gt;=ROUND('Lançamento'!$K$3,6)),'Lançamento'!L10,0)</f>
        <v/>
      </c>
      <c r="Y10" s="43">
        <f>IF(AND(ISNUMBER('Lançamento'!M10),ROUND('Lançamento'!M10,6)&lt;ROUND('Lançamento'!$H$3,6),ROUND('Lançamento'!M10,6)&gt;=ROUND('Lançamento'!$K$3,6)),'Lançamento'!M10,0)</f>
        <v/>
      </c>
      <c r="Z10" s="43">
        <f>IF(AND(ISNUMBER('Lançamento'!B10),ROUND('Lançamento'!B10,6)&lt;ROUND('Lançamento'!$K$3,6)),'Lançamento'!B10,0)</f>
        <v/>
      </c>
      <c r="AA10" s="43">
        <f>IF(AND(ISNUMBER('Lançamento'!C10),ROUND('Lançamento'!C10,6)&lt;ROUND('Lançamento'!$K$3,6)),'Lançamento'!C10,0)</f>
        <v/>
      </c>
      <c r="AB10" s="43">
        <f>IF(AND(ISNUMBER('Lançamento'!D10),ROUND('Lançamento'!D10,6)&lt;ROUND('Lançamento'!$K$3,6)),'Lançamento'!D10,0)</f>
        <v/>
      </c>
      <c r="AC10" s="43">
        <f>IF(AND(ISNUMBER('Lançamento'!E10),ROUND('Lançamento'!E10,6)&lt;ROUND('Lançamento'!$K$3,6)),'Lançamento'!E10,0)</f>
        <v/>
      </c>
      <c r="AD10" s="43">
        <f>IF(AND(ISNUMBER('Lançamento'!F10),ROUND('Lançamento'!F10,6)&lt;ROUND('Lançamento'!$K$3,6)),'Lançamento'!F10,0)</f>
        <v/>
      </c>
      <c r="AE10" s="43">
        <f>IF(AND(ISNUMBER('Lançamento'!G10),ROUND('Lançamento'!G10,6)&lt;ROUND('Lançamento'!$K$3,6)),'Lançamento'!G10,0)</f>
        <v/>
      </c>
      <c r="AF10" s="43">
        <f>IF(AND(ISNUMBER('Lançamento'!H10),ROUND('Lançamento'!H10,6)&lt;ROUND('Lançamento'!$K$3,6)),'Lançamento'!H10,0)</f>
        <v/>
      </c>
      <c r="AG10" s="43">
        <f>IF(AND(ISNUMBER('Lançamento'!I10),ROUND('Lançamento'!I10,6)&lt;ROUND('Lançamento'!$K$3,6)),'Lançamento'!I10,0)</f>
        <v/>
      </c>
      <c r="AH10" s="43">
        <f>IF(AND(ISNUMBER('Lançamento'!J10),ROUND('Lançamento'!J10,6)&lt;ROUND('Lançamento'!$K$3,6)),'Lançamento'!J10,0)</f>
        <v/>
      </c>
      <c r="AI10" s="43">
        <f>IF(AND(ISNUMBER('Lançamento'!K10),ROUND('Lançamento'!K10,6)&lt;ROUND('Lançamento'!$K$3,6)),'Lançamento'!K10,0)</f>
        <v/>
      </c>
      <c r="AJ10" s="43">
        <f>IF(AND(ISNUMBER('Lançamento'!L10),ROUND('Lançamento'!L10,6)&lt;ROUND('Lançamento'!$K$3,6)),'Lançamento'!L10,0)</f>
        <v/>
      </c>
      <c r="AK10" s="43">
        <f>IF(AND(ISNUMBER('Lançamento'!M10),ROUND('Lançamento'!M10,6)&lt;ROUND('Lançamento'!$K$3,6)),'Lançamento'!M10,0)</f>
        <v/>
      </c>
      <c r="AL10" s="42">
        <f>IF(ISNUMBER('Lançamento'!$N10),'Lançamento'!$N10,0)</f>
        <v/>
      </c>
      <c r="AM10" s="42">
        <f>IF(ISNUMBER('Lançamento'!$N10),'Lançamento'!$N10,0)</f>
        <v/>
      </c>
      <c r="AN10" s="42">
        <f>IF(ISNUMBER('Lançamento'!$N10),'Lançamento'!$N10,0)</f>
        <v/>
      </c>
      <c r="AO10" s="42">
        <f>IF(ISNUMBER('Lançamento'!$N10),'Lançamento'!$N10,0)</f>
        <v/>
      </c>
      <c r="AP10" s="42">
        <f>IF(ISNUMBER('Lançamento'!$N10),'Lançamento'!$N10,0)</f>
        <v/>
      </c>
      <c r="AQ10" s="42">
        <f>IF(ISNUMBER('Lançamento'!$N10),'Lançamento'!$N10,0)</f>
        <v/>
      </c>
      <c r="AR10" s="42">
        <f>IF(ISNUMBER('Lançamento'!$N10),'Lançamento'!$N10,0)</f>
        <v/>
      </c>
      <c r="AS10" s="42">
        <f>IF(ISNUMBER('Lançamento'!$N10),'Lançamento'!$N10,0)</f>
        <v/>
      </c>
      <c r="AT10" s="42">
        <f>IF(ISNUMBER('Lançamento'!$N10),'Lançamento'!$N10,0)</f>
        <v/>
      </c>
      <c r="AU10" s="42">
        <f>IF(ISNUMBER('Lançamento'!$N10),'Lançamento'!$N10,0)</f>
        <v/>
      </c>
      <c r="AV10" s="42">
        <f>IF(ISNUMBER('Lançamento'!$N10),'Lançamento'!$N10,0)</f>
        <v/>
      </c>
      <c r="AW10" s="42">
        <f>IF(ISNUMBER('Lançamento'!$N10),'Lançamento'!$N10,0)</f>
        <v/>
      </c>
      <c r="AX10" s="42">
        <f>NA()</f>
        <v/>
      </c>
      <c r="AY10" s="42">
        <f>NA()</f>
        <v/>
      </c>
      <c r="AZ10" s="42">
        <f>IF(COUNT('Lançamento'!B10:'Lançamento'!D10)=3,AVERAGE('Lançamento'!B10:'Lançamento'!D10),NA())</f>
        <v/>
      </c>
      <c r="BA10" s="42">
        <f>IF(COUNT('Lançamento'!C10:'Lançamento'!E10)=3,AVERAGE('Lançamento'!C10:'Lançamento'!E10),NA())</f>
        <v/>
      </c>
      <c r="BB10" s="42">
        <f>IF(COUNT('Lançamento'!D10:'Lançamento'!F10)=3,AVERAGE('Lançamento'!D10:'Lançamento'!F10),NA())</f>
        <v/>
      </c>
      <c r="BC10" s="42">
        <f>IF(COUNT('Lançamento'!E10:'Lançamento'!G10)=3,AVERAGE('Lançamento'!E10:'Lançamento'!G10),NA())</f>
        <v/>
      </c>
      <c r="BD10" s="42">
        <f>IF(COUNT('Lançamento'!F10:'Lançamento'!H10)=3,AVERAGE('Lançamento'!F10:'Lançamento'!H10),NA())</f>
        <v/>
      </c>
      <c r="BE10" s="42">
        <f>IF(COUNT('Lançamento'!G10:'Lançamento'!I10)=3,AVERAGE('Lançamento'!G10:'Lançamento'!I10),NA())</f>
        <v/>
      </c>
      <c r="BF10" s="42">
        <f>IF(COUNT('Lançamento'!H10:'Lançamento'!J10)=3,AVERAGE('Lançamento'!H10:'Lançamento'!J10),NA())</f>
        <v/>
      </c>
      <c r="BG10" s="42">
        <f>IF(COUNT('Lançamento'!I10:'Lançamento'!K10)=3,AVERAGE('Lançamento'!I10:'Lançamento'!K10),NA())</f>
        <v/>
      </c>
      <c r="BH10" s="42">
        <f>IF(COUNT('Lançamento'!J10:'Lançamento'!L10)=3,AVERAGE('Lançamento'!J10:'Lançamento'!L10),NA())</f>
        <v/>
      </c>
      <c r="BI10" s="42">
        <f>IF(COUNT('Lançamento'!K10:'Lançamento'!M10)=3,AVERAGE('Lançamento'!K10:'Lançamento'!M10),NA())</f>
        <v/>
      </c>
      <c r="BJ10" s="42">
        <f>IF('Lançamento'!A10="","",'Lançamento'!A10&amp;"   |   Média YTD: "&amp;IF('Lançamento'!O10="","-",ROUND('Lançamento'!O10*100,1)&amp;"%"))</f>
        <v/>
      </c>
    </row>
    <row r="11">
      <c r="A11" s="42">
        <f>IF('Lançamento'!A11="","",'Lançamento'!A11)</f>
        <v/>
      </c>
      <c r="B11" s="43">
        <f>IF(AND(ISNUMBER('Lançamento'!B11),ROUND('Lançamento'!B11,6)&gt;=ROUND('Lançamento'!$H$3,6)),'Lançamento'!B11,0)</f>
        <v/>
      </c>
      <c r="C11" s="43">
        <f>IF(AND(ISNUMBER('Lançamento'!C11),ROUND('Lançamento'!C11,6)&gt;=ROUND('Lançamento'!$H$3,6)),'Lançamento'!C11,0)</f>
        <v/>
      </c>
      <c r="D11" s="43">
        <f>IF(AND(ISNUMBER('Lançamento'!D11),ROUND('Lançamento'!D11,6)&gt;=ROUND('Lançamento'!$H$3,6)),'Lançamento'!D11,0)</f>
        <v/>
      </c>
      <c r="E11" s="43">
        <f>IF(AND(ISNUMBER('Lançamento'!E11),ROUND('Lançamento'!E11,6)&gt;=ROUND('Lançamento'!$H$3,6)),'Lançamento'!E11,0)</f>
        <v/>
      </c>
      <c r="F11" s="43">
        <f>IF(AND(ISNUMBER('Lançamento'!F11),ROUND('Lançamento'!F11,6)&gt;=ROUND('Lançamento'!$H$3,6)),'Lançamento'!F11,0)</f>
        <v/>
      </c>
      <c r="G11" s="43">
        <f>IF(AND(ISNUMBER('Lançamento'!G11),ROUND('Lançamento'!G11,6)&gt;=ROUND('Lançamento'!$H$3,6)),'Lançamento'!G11,0)</f>
        <v/>
      </c>
      <c r="H11" s="43">
        <f>IF(AND(ISNUMBER('Lançamento'!H11),ROUND('Lançamento'!H11,6)&gt;=ROUND('Lançamento'!$H$3,6)),'Lançamento'!H11,0)</f>
        <v/>
      </c>
      <c r="I11" s="43">
        <f>IF(AND(ISNUMBER('Lançamento'!I11),ROUND('Lançamento'!I11,6)&gt;=ROUND('Lançamento'!$H$3,6)),'Lançamento'!I11,0)</f>
        <v/>
      </c>
      <c r="J11" s="43">
        <f>IF(AND(ISNUMBER('Lançamento'!J11),ROUND('Lançamento'!J11,6)&gt;=ROUND('Lançamento'!$H$3,6)),'Lançamento'!J11,0)</f>
        <v/>
      </c>
      <c r="K11" s="43">
        <f>IF(AND(ISNUMBER('Lançamento'!K11),ROUND('Lançamento'!K11,6)&gt;=ROUND('Lançamento'!$H$3,6)),'Lançamento'!K11,0)</f>
        <v/>
      </c>
      <c r="L11" s="43">
        <f>IF(AND(ISNUMBER('Lançamento'!L11),ROUND('Lançamento'!L11,6)&gt;=ROUND('Lançamento'!$H$3,6)),'Lançamento'!L11,0)</f>
        <v/>
      </c>
      <c r="M11" s="43">
        <f>IF(AND(ISNUMBER('Lançamento'!M11),ROUND('Lançamento'!M11,6)&gt;=ROUND('Lançamento'!$H$3,6)),'Lançamento'!M11,0)</f>
        <v/>
      </c>
      <c r="N11" s="43">
        <f>IF(AND(ISNUMBER('Lançamento'!B11),ROUND('Lançamento'!B11,6)&lt;ROUND('Lançamento'!$H$3,6),ROUND('Lançamento'!B11,6)&gt;=ROUND('Lançamento'!$K$3,6)),'Lançamento'!B11,0)</f>
        <v/>
      </c>
      <c r="O11" s="43">
        <f>IF(AND(ISNUMBER('Lançamento'!C11),ROUND('Lançamento'!C11,6)&lt;ROUND('Lançamento'!$H$3,6),ROUND('Lançamento'!C11,6)&gt;=ROUND('Lançamento'!$K$3,6)),'Lançamento'!C11,0)</f>
        <v/>
      </c>
      <c r="P11" s="43">
        <f>IF(AND(ISNUMBER('Lançamento'!D11),ROUND('Lançamento'!D11,6)&lt;ROUND('Lançamento'!$H$3,6),ROUND('Lançamento'!D11,6)&gt;=ROUND('Lançamento'!$K$3,6)),'Lançamento'!D11,0)</f>
        <v/>
      </c>
      <c r="Q11" s="43">
        <f>IF(AND(ISNUMBER('Lançamento'!E11),ROUND('Lançamento'!E11,6)&lt;ROUND('Lançamento'!$H$3,6),ROUND('Lançamento'!E11,6)&gt;=ROUND('Lançamento'!$K$3,6)),'Lançamento'!E11,0)</f>
        <v/>
      </c>
      <c r="R11" s="43">
        <f>IF(AND(ISNUMBER('Lançamento'!F11),ROUND('Lançamento'!F11,6)&lt;ROUND('Lançamento'!$H$3,6),ROUND('Lançamento'!F11,6)&gt;=ROUND('Lançamento'!$K$3,6)),'Lançamento'!F11,0)</f>
        <v/>
      </c>
      <c r="S11" s="43">
        <f>IF(AND(ISNUMBER('Lançamento'!G11),ROUND('Lançamento'!G11,6)&lt;ROUND('Lançamento'!$H$3,6),ROUND('Lançamento'!G11,6)&gt;=ROUND('Lançamento'!$K$3,6)),'Lançamento'!G11,0)</f>
        <v/>
      </c>
      <c r="T11" s="43">
        <f>IF(AND(ISNUMBER('Lançamento'!H11),ROUND('Lançamento'!H11,6)&lt;ROUND('Lançamento'!$H$3,6),ROUND('Lançamento'!H11,6)&gt;=ROUND('Lançamento'!$K$3,6)),'Lançamento'!H11,0)</f>
        <v/>
      </c>
      <c r="U11" s="43">
        <f>IF(AND(ISNUMBER('Lançamento'!I11),ROUND('Lançamento'!I11,6)&lt;ROUND('Lançamento'!$H$3,6),ROUND('Lançamento'!I11,6)&gt;=ROUND('Lançamento'!$K$3,6)),'Lançamento'!I11,0)</f>
        <v/>
      </c>
      <c r="V11" s="43">
        <f>IF(AND(ISNUMBER('Lançamento'!J11),ROUND('Lançamento'!J11,6)&lt;ROUND('Lançamento'!$H$3,6),ROUND('Lançamento'!J11,6)&gt;=ROUND('Lançamento'!$K$3,6)),'Lançamento'!J11,0)</f>
        <v/>
      </c>
      <c r="W11" s="43">
        <f>IF(AND(ISNUMBER('Lançamento'!K11),ROUND('Lançamento'!K11,6)&lt;ROUND('Lançamento'!$H$3,6),ROUND('Lançamento'!K11,6)&gt;=ROUND('Lançamento'!$K$3,6)),'Lançamento'!K11,0)</f>
        <v/>
      </c>
      <c r="X11" s="43">
        <f>IF(AND(ISNUMBER('Lançamento'!L11),ROUND('Lançamento'!L11,6)&lt;ROUND('Lançamento'!$H$3,6),ROUND('Lançamento'!L11,6)&gt;=ROUND('Lançamento'!$K$3,6)),'Lançamento'!L11,0)</f>
        <v/>
      </c>
      <c r="Y11" s="43">
        <f>IF(AND(ISNUMBER('Lançamento'!M11),ROUND('Lançamento'!M11,6)&lt;ROUND('Lançamento'!$H$3,6),ROUND('Lançamento'!M11,6)&gt;=ROUND('Lançamento'!$K$3,6)),'Lançamento'!M11,0)</f>
        <v/>
      </c>
      <c r="Z11" s="43">
        <f>IF(AND(ISNUMBER('Lançamento'!B11),ROUND('Lançamento'!B11,6)&lt;ROUND('Lançamento'!$K$3,6)),'Lançamento'!B11,0)</f>
        <v/>
      </c>
      <c r="AA11" s="43">
        <f>IF(AND(ISNUMBER('Lançamento'!C11),ROUND('Lançamento'!C11,6)&lt;ROUND('Lançamento'!$K$3,6)),'Lançamento'!C11,0)</f>
        <v/>
      </c>
      <c r="AB11" s="43">
        <f>IF(AND(ISNUMBER('Lançamento'!D11),ROUND('Lançamento'!D11,6)&lt;ROUND('Lançamento'!$K$3,6)),'Lançamento'!D11,0)</f>
        <v/>
      </c>
      <c r="AC11" s="43">
        <f>IF(AND(ISNUMBER('Lançamento'!E11),ROUND('Lançamento'!E11,6)&lt;ROUND('Lançamento'!$K$3,6)),'Lançamento'!E11,0)</f>
        <v/>
      </c>
      <c r="AD11" s="43">
        <f>IF(AND(ISNUMBER('Lançamento'!F11),ROUND('Lançamento'!F11,6)&lt;ROUND('Lançamento'!$K$3,6)),'Lançamento'!F11,0)</f>
        <v/>
      </c>
      <c r="AE11" s="43">
        <f>IF(AND(ISNUMBER('Lançamento'!G11),ROUND('Lançamento'!G11,6)&lt;ROUND('Lançamento'!$K$3,6)),'Lançamento'!G11,0)</f>
        <v/>
      </c>
      <c r="AF11" s="43">
        <f>IF(AND(ISNUMBER('Lançamento'!H11),ROUND('Lançamento'!H11,6)&lt;ROUND('Lançamento'!$K$3,6)),'Lançamento'!H11,0)</f>
        <v/>
      </c>
      <c r="AG11" s="43">
        <f>IF(AND(ISNUMBER('Lançamento'!I11),ROUND('Lançamento'!I11,6)&lt;ROUND('Lançamento'!$K$3,6)),'Lançamento'!I11,0)</f>
        <v/>
      </c>
      <c r="AH11" s="43">
        <f>IF(AND(ISNUMBER('Lançamento'!J11),ROUND('Lançamento'!J11,6)&lt;ROUND('Lançamento'!$K$3,6)),'Lançamento'!J11,0)</f>
        <v/>
      </c>
      <c r="AI11" s="43">
        <f>IF(AND(ISNUMBER('Lançamento'!K11),ROUND('Lançamento'!K11,6)&lt;ROUND('Lançamento'!$K$3,6)),'Lançamento'!K11,0)</f>
        <v/>
      </c>
      <c r="AJ11" s="43">
        <f>IF(AND(ISNUMBER('Lançamento'!L11),ROUND('Lançamento'!L11,6)&lt;ROUND('Lançamento'!$K$3,6)),'Lançamento'!L11,0)</f>
        <v/>
      </c>
      <c r="AK11" s="43">
        <f>IF(AND(ISNUMBER('Lançamento'!M11),ROUND('Lançamento'!M11,6)&lt;ROUND('Lançamento'!$K$3,6)),'Lançamento'!M11,0)</f>
        <v/>
      </c>
      <c r="AL11" s="42">
        <f>IF(ISNUMBER('Lançamento'!$N11),'Lançamento'!$N11,0)</f>
        <v/>
      </c>
      <c r="AM11" s="42">
        <f>IF(ISNUMBER('Lançamento'!$N11),'Lançamento'!$N11,0)</f>
        <v/>
      </c>
      <c r="AN11" s="42">
        <f>IF(ISNUMBER('Lançamento'!$N11),'Lançamento'!$N11,0)</f>
        <v/>
      </c>
      <c r="AO11" s="42">
        <f>IF(ISNUMBER('Lançamento'!$N11),'Lançamento'!$N11,0)</f>
        <v/>
      </c>
      <c r="AP11" s="42">
        <f>IF(ISNUMBER('Lançamento'!$N11),'Lançamento'!$N11,0)</f>
        <v/>
      </c>
      <c r="AQ11" s="42">
        <f>IF(ISNUMBER('Lançamento'!$N11),'Lançamento'!$N11,0)</f>
        <v/>
      </c>
      <c r="AR11" s="42">
        <f>IF(ISNUMBER('Lançamento'!$N11),'Lançamento'!$N11,0)</f>
        <v/>
      </c>
      <c r="AS11" s="42">
        <f>IF(ISNUMBER('Lançamento'!$N11),'Lançamento'!$N11,0)</f>
        <v/>
      </c>
      <c r="AT11" s="42">
        <f>IF(ISNUMBER('Lançamento'!$N11),'Lançamento'!$N11,0)</f>
        <v/>
      </c>
      <c r="AU11" s="42">
        <f>IF(ISNUMBER('Lançamento'!$N11),'Lançamento'!$N11,0)</f>
        <v/>
      </c>
      <c r="AV11" s="42">
        <f>IF(ISNUMBER('Lançamento'!$N11),'Lançamento'!$N11,0)</f>
        <v/>
      </c>
      <c r="AW11" s="42">
        <f>IF(ISNUMBER('Lançamento'!$N11),'Lançamento'!$N11,0)</f>
        <v/>
      </c>
      <c r="AX11" s="42">
        <f>NA()</f>
        <v/>
      </c>
      <c r="AY11" s="42">
        <f>NA()</f>
        <v/>
      </c>
      <c r="AZ11" s="42">
        <f>IF(COUNT('Lançamento'!B11:'Lançamento'!D11)=3,AVERAGE('Lançamento'!B11:'Lançamento'!D11),NA())</f>
        <v/>
      </c>
      <c r="BA11" s="42">
        <f>IF(COUNT('Lançamento'!C11:'Lançamento'!E11)=3,AVERAGE('Lançamento'!C11:'Lançamento'!E11),NA())</f>
        <v/>
      </c>
      <c r="BB11" s="42">
        <f>IF(COUNT('Lançamento'!D11:'Lançamento'!F11)=3,AVERAGE('Lançamento'!D11:'Lançamento'!F11),NA())</f>
        <v/>
      </c>
      <c r="BC11" s="42">
        <f>IF(COUNT('Lançamento'!E11:'Lançamento'!G11)=3,AVERAGE('Lançamento'!E11:'Lançamento'!G11),NA())</f>
        <v/>
      </c>
      <c r="BD11" s="42">
        <f>IF(COUNT('Lançamento'!F11:'Lançamento'!H11)=3,AVERAGE('Lançamento'!F11:'Lançamento'!H11),NA())</f>
        <v/>
      </c>
      <c r="BE11" s="42">
        <f>IF(COUNT('Lançamento'!G11:'Lançamento'!I11)=3,AVERAGE('Lançamento'!G11:'Lançamento'!I11),NA())</f>
        <v/>
      </c>
      <c r="BF11" s="42">
        <f>IF(COUNT('Lançamento'!H11:'Lançamento'!J11)=3,AVERAGE('Lançamento'!H11:'Lançamento'!J11),NA())</f>
        <v/>
      </c>
      <c r="BG11" s="42">
        <f>IF(COUNT('Lançamento'!I11:'Lançamento'!K11)=3,AVERAGE('Lançamento'!I11:'Lançamento'!K11),NA())</f>
        <v/>
      </c>
      <c r="BH11" s="42">
        <f>IF(COUNT('Lançamento'!J11:'Lançamento'!L11)=3,AVERAGE('Lançamento'!J11:'Lançamento'!L11),NA())</f>
        <v/>
      </c>
      <c r="BI11" s="42">
        <f>IF(COUNT('Lançamento'!K11:'Lançamento'!M11)=3,AVERAGE('Lançamento'!K11:'Lançamento'!M11),NA())</f>
        <v/>
      </c>
      <c r="BJ11" s="42">
        <f>IF('Lançamento'!A11="","",'Lançamento'!A11&amp;"   |   Média YTD: "&amp;IF('Lançamento'!O11="","-",ROUND('Lançamento'!O11*100,1)&amp;"%"))</f>
        <v/>
      </c>
    </row>
    <row r="12">
      <c r="A12" s="42">
        <f>IF('Lançamento'!A12="","",'Lançamento'!A12)</f>
        <v/>
      </c>
      <c r="B12" s="43">
        <f>IF(AND(ISNUMBER('Lançamento'!B12),ROUND('Lançamento'!B12,6)&gt;=ROUND('Lançamento'!$H$3,6)),'Lançamento'!B12,0)</f>
        <v/>
      </c>
      <c r="C12" s="43">
        <f>IF(AND(ISNUMBER('Lançamento'!C12),ROUND('Lançamento'!C12,6)&gt;=ROUND('Lançamento'!$H$3,6)),'Lançamento'!C12,0)</f>
        <v/>
      </c>
      <c r="D12" s="43">
        <f>IF(AND(ISNUMBER('Lançamento'!D12),ROUND('Lançamento'!D12,6)&gt;=ROUND('Lançamento'!$H$3,6)),'Lançamento'!D12,0)</f>
        <v/>
      </c>
      <c r="E12" s="43">
        <f>IF(AND(ISNUMBER('Lançamento'!E12),ROUND('Lançamento'!E12,6)&gt;=ROUND('Lançamento'!$H$3,6)),'Lançamento'!E12,0)</f>
        <v/>
      </c>
      <c r="F12" s="43">
        <f>IF(AND(ISNUMBER('Lançamento'!F12),ROUND('Lançamento'!F12,6)&gt;=ROUND('Lançamento'!$H$3,6)),'Lançamento'!F12,0)</f>
        <v/>
      </c>
      <c r="G12" s="43">
        <f>IF(AND(ISNUMBER('Lançamento'!G12),ROUND('Lançamento'!G12,6)&gt;=ROUND('Lançamento'!$H$3,6)),'Lançamento'!G12,0)</f>
        <v/>
      </c>
      <c r="H12" s="43">
        <f>IF(AND(ISNUMBER('Lançamento'!H12),ROUND('Lançamento'!H12,6)&gt;=ROUND('Lançamento'!$H$3,6)),'Lançamento'!H12,0)</f>
        <v/>
      </c>
      <c r="I12" s="43">
        <f>IF(AND(ISNUMBER('Lançamento'!I12),ROUND('Lançamento'!I12,6)&gt;=ROUND('Lançamento'!$H$3,6)),'Lançamento'!I12,0)</f>
        <v/>
      </c>
      <c r="J12" s="43">
        <f>IF(AND(ISNUMBER('Lançamento'!J12),ROUND('Lançamento'!J12,6)&gt;=ROUND('Lançamento'!$H$3,6)),'Lançamento'!J12,0)</f>
        <v/>
      </c>
      <c r="K12" s="43">
        <f>IF(AND(ISNUMBER('Lançamento'!K12),ROUND('Lançamento'!K12,6)&gt;=ROUND('Lançamento'!$H$3,6)),'Lançamento'!K12,0)</f>
        <v/>
      </c>
      <c r="L12" s="43">
        <f>IF(AND(ISNUMBER('Lançamento'!L12),ROUND('Lançamento'!L12,6)&gt;=ROUND('Lançamento'!$H$3,6)),'Lançamento'!L12,0)</f>
        <v/>
      </c>
      <c r="M12" s="43">
        <f>IF(AND(ISNUMBER('Lançamento'!M12),ROUND('Lançamento'!M12,6)&gt;=ROUND('Lançamento'!$H$3,6)),'Lançamento'!M12,0)</f>
        <v/>
      </c>
      <c r="N12" s="43">
        <f>IF(AND(ISNUMBER('Lançamento'!B12),ROUND('Lançamento'!B12,6)&lt;ROUND('Lançamento'!$H$3,6),ROUND('Lançamento'!B12,6)&gt;=ROUND('Lançamento'!$K$3,6)),'Lançamento'!B12,0)</f>
        <v/>
      </c>
      <c r="O12" s="43">
        <f>IF(AND(ISNUMBER('Lançamento'!C12),ROUND('Lançamento'!C12,6)&lt;ROUND('Lançamento'!$H$3,6),ROUND('Lançamento'!C12,6)&gt;=ROUND('Lançamento'!$K$3,6)),'Lançamento'!C12,0)</f>
        <v/>
      </c>
      <c r="P12" s="43">
        <f>IF(AND(ISNUMBER('Lançamento'!D12),ROUND('Lançamento'!D12,6)&lt;ROUND('Lançamento'!$H$3,6),ROUND('Lançamento'!D12,6)&gt;=ROUND('Lançamento'!$K$3,6)),'Lançamento'!D12,0)</f>
        <v/>
      </c>
      <c r="Q12" s="43">
        <f>IF(AND(ISNUMBER('Lançamento'!E12),ROUND('Lançamento'!E12,6)&lt;ROUND('Lançamento'!$H$3,6),ROUND('Lançamento'!E12,6)&gt;=ROUND('Lançamento'!$K$3,6)),'Lançamento'!E12,0)</f>
        <v/>
      </c>
      <c r="R12" s="43">
        <f>IF(AND(ISNUMBER('Lançamento'!F12),ROUND('Lançamento'!F12,6)&lt;ROUND('Lançamento'!$H$3,6),ROUND('Lançamento'!F12,6)&gt;=ROUND('Lançamento'!$K$3,6)),'Lançamento'!F12,0)</f>
        <v/>
      </c>
      <c r="S12" s="43">
        <f>IF(AND(ISNUMBER('Lançamento'!G12),ROUND('Lançamento'!G12,6)&lt;ROUND('Lançamento'!$H$3,6),ROUND('Lançamento'!G12,6)&gt;=ROUND('Lançamento'!$K$3,6)),'Lançamento'!G12,0)</f>
        <v/>
      </c>
      <c r="T12" s="43">
        <f>IF(AND(ISNUMBER('Lançamento'!H12),ROUND('Lançamento'!H12,6)&lt;ROUND('Lançamento'!$H$3,6),ROUND('Lançamento'!H12,6)&gt;=ROUND('Lançamento'!$K$3,6)),'Lançamento'!H12,0)</f>
        <v/>
      </c>
      <c r="U12" s="43">
        <f>IF(AND(ISNUMBER('Lançamento'!I12),ROUND('Lançamento'!I12,6)&lt;ROUND('Lançamento'!$H$3,6),ROUND('Lançamento'!I12,6)&gt;=ROUND('Lançamento'!$K$3,6)),'Lançamento'!I12,0)</f>
        <v/>
      </c>
      <c r="V12" s="43">
        <f>IF(AND(ISNUMBER('Lançamento'!J12),ROUND('Lançamento'!J12,6)&lt;ROUND('Lançamento'!$H$3,6),ROUND('Lançamento'!J12,6)&gt;=ROUND('Lançamento'!$K$3,6)),'Lançamento'!J12,0)</f>
        <v/>
      </c>
      <c r="W12" s="43">
        <f>IF(AND(ISNUMBER('Lançamento'!K12),ROUND('Lançamento'!K12,6)&lt;ROUND('Lançamento'!$H$3,6),ROUND('Lançamento'!K12,6)&gt;=ROUND('Lançamento'!$K$3,6)),'Lançamento'!K12,0)</f>
        <v/>
      </c>
      <c r="X12" s="43">
        <f>IF(AND(ISNUMBER('Lançamento'!L12),ROUND('Lançamento'!L12,6)&lt;ROUND('Lançamento'!$H$3,6),ROUND('Lançamento'!L12,6)&gt;=ROUND('Lançamento'!$K$3,6)),'Lançamento'!L12,0)</f>
        <v/>
      </c>
      <c r="Y12" s="43">
        <f>IF(AND(ISNUMBER('Lançamento'!M12),ROUND('Lançamento'!M12,6)&lt;ROUND('Lançamento'!$H$3,6),ROUND('Lançamento'!M12,6)&gt;=ROUND('Lançamento'!$K$3,6)),'Lançamento'!M12,0)</f>
        <v/>
      </c>
      <c r="Z12" s="43">
        <f>IF(AND(ISNUMBER('Lançamento'!B12),ROUND('Lançamento'!B12,6)&lt;ROUND('Lançamento'!$K$3,6)),'Lançamento'!B12,0)</f>
        <v/>
      </c>
      <c r="AA12" s="43">
        <f>IF(AND(ISNUMBER('Lançamento'!C12),ROUND('Lançamento'!C12,6)&lt;ROUND('Lançamento'!$K$3,6)),'Lançamento'!C12,0)</f>
        <v/>
      </c>
      <c r="AB12" s="43">
        <f>IF(AND(ISNUMBER('Lançamento'!D12),ROUND('Lançamento'!D12,6)&lt;ROUND('Lançamento'!$K$3,6)),'Lançamento'!D12,0)</f>
        <v/>
      </c>
      <c r="AC12" s="43">
        <f>IF(AND(ISNUMBER('Lançamento'!E12),ROUND('Lançamento'!E12,6)&lt;ROUND('Lançamento'!$K$3,6)),'Lançamento'!E12,0)</f>
        <v/>
      </c>
      <c r="AD12" s="43">
        <f>IF(AND(ISNUMBER('Lançamento'!F12),ROUND('Lançamento'!F12,6)&lt;ROUND('Lançamento'!$K$3,6)),'Lançamento'!F12,0)</f>
        <v/>
      </c>
      <c r="AE12" s="43">
        <f>IF(AND(ISNUMBER('Lançamento'!G12),ROUND('Lançamento'!G12,6)&lt;ROUND('Lançamento'!$K$3,6)),'Lançamento'!G12,0)</f>
        <v/>
      </c>
      <c r="AF12" s="43">
        <f>IF(AND(ISNUMBER('Lançamento'!H12),ROUND('Lançamento'!H12,6)&lt;ROUND('Lançamento'!$K$3,6)),'Lançamento'!H12,0)</f>
        <v/>
      </c>
      <c r="AG12" s="43">
        <f>IF(AND(ISNUMBER('Lançamento'!I12),ROUND('Lançamento'!I12,6)&lt;ROUND('Lançamento'!$K$3,6)),'Lançamento'!I12,0)</f>
        <v/>
      </c>
      <c r="AH12" s="43">
        <f>IF(AND(ISNUMBER('Lançamento'!J12),ROUND('Lançamento'!J12,6)&lt;ROUND('Lançamento'!$K$3,6)),'Lançamento'!J12,0)</f>
        <v/>
      </c>
      <c r="AI12" s="43">
        <f>IF(AND(ISNUMBER('Lançamento'!K12),ROUND('Lançamento'!K12,6)&lt;ROUND('Lançamento'!$K$3,6)),'Lançamento'!K12,0)</f>
        <v/>
      </c>
      <c r="AJ12" s="43">
        <f>IF(AND(ISNUMBER('Lançamento'!L12),ROUND('Lançamento'!L12,6)&lt;ROUND('Lançamento'!$K$3,6)),'Lançamento'!L12,0)</f>
        <v/>
      </c>
      <c r="AK12" s="43">
        <f>IF(AND(ISNUMBER('Lançamento'!M12),ROUND('Lançamento'!M12,6)&lt;ROUND('Lançamento'!$K$3,6)),'Lançamento'!M12,0)</f>
        <v/>
      </c>
      <c r="AL12" s="42">
        <f>IF(ISNUMBER('Lançamento'!$N12),'Lançamento'!$N12,0)</f>
        <v/>
      </c>
      <c r="AM12" s="42">
        <f>IF(ISNUMBER('Lançamento'!$N12),'Lançamento'!$N12,0)</f>
        <v/>
      </c>
      <c r="AN12" s="42">
        <f>IF(ISNUMBER('Lançamento'!$N12),'Lançamento'!$N12,0)</f>
        <v/>
      </c>
      <c r="AO12" s="42">
        <f>IF(ISNUMBER('Lançamento'!$N12),'Lançamento'!$N12,0)</f>
        <v/>
      </c>
      <c r="AP12" s="42">
        <f>IF(ISNUMBER('Lançamento'!$N12),'Lançamento'!$N12,0)</f>
        <v/>
      </c>
      <c r="AQ12" s="42">
        <f>IF(ISNUMBER('Lançamento'!$N12),'Lançamento'!$N12,0)</f>
        <v/>
      </c>
      <c r="AR12" s="42">
        <f>IF(ISNUMBER('Lançamento'!$N12),'Lançamento'!$N12,0)</f>
        <v/>
      </c>
      <c r="AS12" s="42">
        <f>IF(ISNUMBER('Lançamento'!$N12),'Lançamento'!$N12,0)</f>
        <v/>
      </c>
      <c r="AT12" s="42">
        <f>IF(ISNUMBER('Lançamento'!$N12),'Lançamento'!$N12,0)</f>
        <v/>
      </c>
      <c r="AU12" s="42">
        <f>IF(ISNUMBER('Lançamento'!$N12),'Lançamento'!$N12,0)</f>
        <v/>
      </c>
      <c r="AV12" s="42">
        <f>IF(ISNUMBER('Lançamento'!$N12),'Lançamento'!$N12,0)</f>
        <v/>
      </c>
      <c r="AW12" s="42">
        <f>IF(ISNUMBER('Lançamento'!$N12),'Lançamento'!$N12,0)</f>
        <v/>
      </c>
      <c r="AX12" s="42">
        <f>NA()</f>
        <v/>
      </c>
      <c r="AY12" s="42">
        <f>NA()</f>
        <v/>
      </c>
      <c r="AZ12" s="42">
        <f>IF(COUNT('Lançamento'!B12:'Lançamento'!D12)=3,AVERAGE('Lançamento'!B12:'Lançamento'!D12),NA())</f>
        <v/>
      </c>
      <c r="BA12" s="42">
        <f>IF(COUNT('Lançamento'!C12:'Lançamento'!E12)=3,AVERAGE('Lançamento'!C12:'Lançamento'!E12),NA())</f>
        <v/>
      </c>
      <c r="BB12" s="42">
        <f>IF(COUNT('Lançamento'!D12:'Lançamento'!F12)=3,AVERAGE('Lançamento'!D12:'Lançamento'!F12),NA())</f>
        <v/>
      </c>
      <c r="BC12" s="42">
        <f>IF(COUNT('Lançamento'!E12:'Lançamento'!G12)=3,AVERAGE('Lançamento'!E12:'Lançamento'!G12),NA())</f>
        <v/>
      </c>
      <c r="BD12" s="42">
        <f>IF(COUNT('Lançamento'!F12:'Lançamento'!H12)=3,AVERAGE('Lançamento'!F12:'Lançamento'!H12),NA())</f>
        <v/>
      </c>
      <c r="BE12" s="42">
        <f>IF(COUNT('Lançamento'!G12:'Lançamento'!I12)=3,AVERAGE('Lançamento'!G12:'Lançamento'!I12),NA())</f>
        <v/>
      </c>
      <c r="BF12" s="42">
        <f>IF(COUNT('Lançamento'!H12:'Lançamento'!J12)=3,AVERAGE('Lançamento'!H12:'Lançamento'!J12),NA())</f>
        <v/>
      </c>
      <c r="BG12" s="42">
        <f>IF(COUNT('Lançamento'!I12:'Lançamento'!K12)=3,AVERAGE('Lançamento'!I12:'Lançamento'!K12),NA())</f>
        <v/>
      </c>
      <c r="BH12" s="42">
        <f>IF(COUNT('Lançamento'!J12:'Lançamento'!L12)=3,AVERAGE('Lançamento'!J12:'Lançamento'!L12),NA())</f>
        <v/>
      </c>
      <c r="BI12" s="42">
        <f>IF(COUNT('Lançamento'!K12:'Lançamento'!M12)=3,AVERAGE('Lançamento'!K12:'Lançamento'!M12),NA())</f>
        <v/>
      </c>
      <c r="BJ12" s="42">
        <f>IF('Lançamento'!A12="","",'Lançamento'!A12&amp;"   |   Média YTD: "&amp;IF('Lançamento'!O12="","-",ROUND('Lançamento'!O12*100,1)&amp;"%"))</f>
        <v/>
      </c>
    </row>
    <row r="13">
      <c r="A13" s="42">
        <f>IF('Lançamento'!A13="","",'Lançamento'!A13)</f>
        <v/>
      </c>
      <c r="B13" s="43">
        <f>IF(AND(ISNUMBER('Lançamento'!B13),ROUND('Lançamento'!B13,6)&gt;=ROUND('Lançamento'!$H$3,6)),'Lançamento'!B13,0)</f>
        <v/>
      </c>
      <c r="C13" s="43">
        <f>IF(AND(ISNUMBER('Lançamento'!C13),ROUND('Lançamento'!C13,6)&gt;=ROUND('Lançamento'!$H$3,6)),'Lançamento'!C13,0)</f>
        <v/>
      </c>
      <c r="D13" s="43">
        <f>IF(AND(ISNUMBER('Lançamento'!D13),ROUND('Lançamento'!D13,6)&gt;=ROUND('Lançamento'!$H$3,6)),'Lançamento'!D13,0)</f>
        <v/>
      </c>
      <c r="E13" s="43">
        <f>IF(AND(ISNUMBER('Lançamento'!E13),ROUND('Lançamento'!E13,6)&gt;=ROUND('Lançamento'!$H$3,6)),'Lançamento'!E13,0)</f>
        <v/>
      </c>
      <c r="F13" s="43">
        <f>IF(AND(ISNUMBER('Lançamento'!F13),ROUND('Lançamento'!F13,6)&gt;=ROUND('Lançamento'!$H$3,6)),'Lançamento'!F13,0)</f>
        <v/>
      </c>
      <c r="G13" s="43">
        <f>IF(AND(ISNUMBER('Lançamento'!G13),ROUND('Lançamento'!G13,6)&gt;=ROUND('Lançamento'!$H$3,6)),'Lançamento'!G13,0)</f>
        <v/>
      </c>
      <c r="H13" s="43">
        <f>IF(AND(ISNUMBER('Lançamento'!H13),ROUND('Lançamento'!H13,6)&gt;=ROUND('Lançamento'!$H$3,6)),'Lançamento'!H13,0)</f>
        <v/>
      </c>
      <c r="I13" s="43">
        <f>IF(AND(ISNUMBER('Lançamento'!I13),ROUND('Lançamento'!I13,6)&gt;=ROUND('Lançamento'!$H$3,6)),'Lançamento'!I13,0)</f>
        <v/>
      </c>
      <c r="J13" s="43">
        <f>IF(AND(ISNUMBER('Lançamento'!J13),ROUND('Lançamento'!J13,6)&gt;=ROUND('Lançamento'!$H$3,6)),'Lançamento'!J13,0)</f>
        <v/>
      </c>
      <c r="K13" s="43">
        <f>IF(AND(ISNUMBER('Lançamento'!K13),ROUND('Lançamento'!K13,6)&gt;=ROUND('Lançamento'!$H$3,6)),'Lançamento'!K13,0)</f>
        <v/>
      </c>
      <c r="L13" s="43">
        <f>IF(AND(ISNUMBER('Lançamento'!L13),ROUND('Lançamento'!L13,6)&gt;=ROUND('Lançamento'!$H$3,6)),'Lançamento'!L13,0)</f>
        <v/>
      </c>
      <c r="M13" s="43">
        <f>IF(AND(ISNUMBER('Lançamento'!M13),ROUND('Lançamento'!M13,6)&gt;=ROUND('Lançamento'!$H$3,6)),'Lançamento'!M13,0)</f>
        <v/>
      </c>
      <c r="N13" s="43">
        <f>IF(AND(ISNUMBER('Lançamento'!B13),ROUND('Lançamento'!B13,6)&lt;ROUND('Lançamento'!$H$3,6),ROUND('Lançamento'!B13,6)&gt;=ROUND('Lançamento'!$K$3,6)),'Lançamento'!B13,0)</f>
        <v/>
      </c>
      <c r="O13" s="43">
        <f>IF(AND(ISNUMBER('Lançamento'!C13),ROUND('Lançamento'!C13,6)&lt;ROUND('Lançamento'!$H$3,6),ROUND('Lançamento'!C13,6)&gt;=ROUND('Lançamento'!$K$3,6)),'Lançamento'!C13,0)</f>
        <v/>
      </c>
      <c r="P13" s="43">
        <f>IF(AND(ISNUMBER('Lançamento'!D13),ROUND('Lançamento'!D13,6)&lt;ROUND('Lançamento'!$H$3,6),ROUND('Lançamento'!D13,6)&gt;=ROUND('Lançamento'!$K$3,6)),'Lançamento'!D13,0)</f>
        <v/>
      </c>
      <c r="Q13" s="43">
        <f>IF(AND(ISNUMBER('Lançamento'!E13),ROUND('Lançamento'!E13,6)&lt;ROUND('Lançamento'!$H$3,6),ROUND('Lançamento'!E13,6)&gt;=ROUND('Lançamento'!$K$3,6)),'Lançamento'!E13,0)</f>
        <v/>
      </c>
      <c r="R13" s="43">
        <f>IF(AND(ISNUMBER('Lançamento'!F13),ROUND('Lançamento'!F13,6)&lt;ROUND('Lançamento'!$H$3,6),ROUND('Lançamento'!F13,6)&gt;=ROUND('Lançamento'!$K$3,6)),'Lançamento'!F13,0)</f>
        <v/>
      </c>
      <c r="S13" s="43">
        <f>IF(AND(ISNUMBER('Lançamento'!G13),ROUND('Lançamento'!G13,6)&lt;ROUND('Lançamento'!$H$3,6),ROUND('Lançamento'!G13,6)&gt;=ROUND('Lançamento'!$K$3,6)),'Lançamento'!G13,0)</f>
        <v/>
      </c>
      <c r="T13" s="43">
        <f>IF(AND(ISNUMBER('Lançamento'!H13),ROUND('Lançamento'!H13,6)&lt;ROUND('Lançamento'!$H$3,6),ROUND('Lançamento'!H13,6)&gt;=ROUND('Lançamento'!$K$3,6)),'Lançamento'!H13,0)</f>
        <v/>
      </c>
      <c r="U13" s="43">
        <f>IF(AND(ISNUMBER('Lançamento'!I13),ROUND('Lançamento'!I13,6)&lt;ROUND('Lançamento'!$H$3,6),ROUND('Lançamento'!I13,6)&gt;=ROUND('Lançamento'!$K$3,6)),'Lançamento'!I13,0)</f>
        <v/>
      </c>
      <c r="V13" s="43">
        <f>IF(AND(ISNUMBER('Lançamento'!J13),ROUND('Lançamento'!J13,6)&lt;ROUND('Lançamento'!$H$3,6),ROUND('Lançamento'!J13,6)&gt;=ROUND('Lançamento'!$K$3,6)),'Lançamento'!J13,0)</f>
        <v/>
      </c>
      <c r="W13" s="43">
        <f>IF(AND(ISNUMBER('Lançamento'!K13),ROUND('Lançamento'!K13,6)&lt;ROUND('Lançamento'!$H$3,6),ROUND('Lançamento'!K13,6)&gt;=ROUND('Lançamento'!$K$3,6)),'Lançamento'!K13,0)</f>
        <v/>
      </c>
      <c r="X13" s="43">
        <f>IF(AND(ISNUMBER('Lançamento'!L13),ROUND('Lançamento'!L13,6)&lt;ROUND('Lançamento'!$H$3,6),ROUND('Lançamento'!L13,6)&gt;=ROUND('Lançamento'!$K$3,6)),'Lançamento'!L13,0)</f>
        <v/>
      </c>
      <c r="Y13" s="43">
        <f>IF(AND(ISNUMBER('Lançamento'!M13),ROUND('Lançamento'!M13,6)&lt;ROUND('Lançamento'!$H$3,6),ROUND('Lançamento'!M13,6)&gt;=ROUND('Lançamento'!$K$3,6)),'Lançamento'!M13,0)</f>
        <v/>
      </c>
      <c r="Z13" s="43">
        <f>IF(AND(ISNUMBER('Lançamento'!B13),ROUND('Lançamento'!B13,6)&lt;ROUND('Lançamento'!$K$3,6)),'Lançamento'!B13,0)</f>
        <v/>
      </c>
      <c r="AA13" s="43">
        <f>IF(AND(ISNUMBER('Lançamento'!C13),ROUND('Lançamento'!C13,6)&lt;ROUND('Lançamento'!$K$3,6)),'Lançamento'!C13,0)</f>
        <v/>
      </c>
      <c r="AB13" s="43">
        <f>IF(AND(ISNUMBER('Lançamento'!D13),ROUND('Lançamento'!D13,6)&lt;ROUND('Lançamento'!$K$3,6)),'Lançamento'!D13,0)</f>
        <v/>
      </c>
      <c r="AC13" s="43">
        <f>IF(AND(ISNUMBER('Lançamento'!E13),ROUND('Lançamento'!E13,6)&lt;ROUND('Lançamento'!$K$3,6)),'Lançamento'!E13,0)</f>
        <v/>
      </c>
      <c r="AD13" s="43">
        <f>IF(AND(ISNUMBER('Lançamento'!F13),ROUND('Lançamento'!F13,6)&lt;ROUND('Lançamento'!$K$3,6)),'Lançamento'!F13,0)</f>
        <v/>
      </c>
      <c r="AE13" s="43">
        <f>IF(AND(ISNUMBER('Lançamento'!G13),ROUND('Lançamento'!G13,6)&lt;ROUND('Lançamento'!$K$3,6)),'Lançamento'!G13,0)</f>
        <v/>
      </c>
      <c r="AF13" s="43">
        <f>IF(AND(ISNUMBER('Lançamento'!H13),ROUND('Lançamento'!H13,6)&lt;ROUND('Lançamento'!$K$3,6)),'Lançamento'!H13,0)</f>
        <v/>
      </c>
      <c r="AG13" s="43">
        <f>IF(AND(ISNUMBER('Lançamento'!I13),ROUND('Lançamento'!I13,6)&lt;ROUND('Lançamento'!$K$3,6)),'Lançamento'!I13,0)</f>
        <v/>
      </c>
      <c r="AH13" s="43">
        <f>IF(AND(ISNUMBER('Lançamento'!J13),ROUND('Lançamento'!J13,6)&lt;ROUND('Lançamento'!$K$3,6)),'Lançamento'!J13,0)</f>
        <v/>
      </c>
      <c r="AI13" s="43">
        <f>IF(AND(ISNUMBER('Lançamento'!K13),ROUND('Lançamento'!K13,6)&lt;ROUND('Lançamento'!$K$3,6)),'Lançamento'!K13,0)</f>
        <v/>
      </c>
      <c r="AJ13" s="43">
        <f>IF(AND(ISNUMBER('Lançamento'!L13),ROUND('Lançamento'!L13,6)&lt;ROUND('Lançamento'!$K$3,6)),'Lançamento'!L13,0)</f>
        <v/>
      </c>
      <c r="AK13" s="43">
        <f>IF(AND(ISNUMBER('Lançamento'!M13),ROUND('Lançamento'!M13,6)&lt;ROUND('Lançamento'!$K$3,6)),'Lançamento'!M13,0)</f>
        <v/>
      </c>
      <c r="AL13" s="42">
        <f>IF(ISNUMBER('Lançamento'!$N13),'Lançamento'!$N13,0)</f>
        <v/>
      </c>
      <c r="AM13" s="42">
        <f>IF(ISNUMBER('Lançamento'!$N13),'Lançamento'!$N13,0)</f>
        <v/>
      </c>
      <c r="AN13" s="42">
        <f>IF(ISNUMBER('Lançamento'!$N13),'Lançamento'!$N13,0)</f>
        <v/>
      </c>
      <c r="AO13" s="42">
        <f>IF(ISNUMBER('Lançamento'!$N13),'Lançamento'!$N13,0)</f>
        <v/>
      </c>
      <c r="AP13" s="42">
        <f>IF(ISNUMBER('Lançamento'!$N13),'Lançamento'!$N13,0)</f>
        <v/>
      </c>
      <c r="AQ13" s="42">
        <f>IF(ISNUMBER('Lançamento'!$N13),'Lançamento'!$N13,0)</f>
        <v/>
      </c>
      <c r="AR13" s="42">
        <f>IF(ISNUMBER('Lançamento'!$N13),'Lançamento'!$N13,0)</f>
        <v/>
      </c>
      <c r="AS13" s="42">
        <f>IF(ISNUMBER('Lançamento'!$N13),'Lançamento'!$N13,0)</f>
        <v/>
      </c>
      <c r="AT13" s="42">
        <f>IF(ISNUMBER('Lançamento'!$N13),'Lançamento'!$N13,0)</f>
        <v/>
      </c>
      <c r="AU13" s="42">
        <f>IF(ISNUMBER('Lançamento'!$N13),'Lançamento'!$N13,0)</f>
        <v/>
      </c>
      <c r="AV13" s="42">
        <f>IF(ISNUMBER('Lançamento'!$N13),'Lançamento'!$N13,0)</f>
        <v/>
      </c>
      <c r="AW13" s="42">
        <f>IF(ISNUMBER('Lançamento'!$N13),'Lançamento'!$N13,0)</f>
        <v/>
      </c>
      <c r="AX13" s="42">
        <f>NA()</f>
        <v/>
      </c>
      <c r="AY13" s="42">
        <f>NA()</f>
        <v/>
      </c>
      <c r="AZ13" s="42">
        <f>IF(COUNT('Lançamento'!B13:'Lançamento'!D13)=3,AVERAGE('Lançamento'!B13:'Lançamento'!D13),NA())</f>
        <v/>
      </c>
      <c r="BA13" s="42">
        <f>IF(COUNT('Lançamento'!C13:'Lançamento'!E13)=3,AVERAGE('Lançamento'!C13:'Lançamento'!E13),NA())</f>
        <v/>
      </c>
      <c r="BB13" s="42">
        <f>IF(COUNT('Lançamento'!D13:'Lançamento'!F13)=3,AVERAGE('Lançamento'!D13:'Lançamento'!F13),NA())</f>
        <v/>
      </c>
      <c r="BC13" s="42">
        <f>IF(COUNT('Lançamento'!E13:'Lançamento'!G13)=3,AVERAGE('Lançamento'!E13:'Lançamento'!G13),NA())</f>
        <v/>
      </c>
      <c r="BD13" s="42">
        <f>IF(COUNT('Lançamento'!F13:'Lançamento'!H13)=3,AVERAGE('Lançamento'!F13:'Lançamento'!H13),NA())</f>
        <v/>
      </c>
      <c r="BE13" s="42">
        <f>IF(COUNT('Lançamento'!G13:'Lançamento'!I13)=3,AVERAGE('Lançamento'!G13:'Lançamento'!I13),NA())</f>
        <v/>
      </c>
      <c r="BF13" s="42">
        <f>IF(COUNT('Lançamento'!H13:'Lançamento'!J13)=3,AVERAGE('Lançamento'!H13:'Lançamento'!J13),NA())</f>
        <v/>
      </c>
      <c r="BG13" s="42">
        <f>IF(COUNT('Lançamento'!I13:'Lançamento'!K13)=3,AVERAGE('Lançamento'!I13:'Lançamento'!K13),NA())</f>
        <v/>
      </c>
      <c r="BH13" s="42">
        <f>IF(COUNT('Lançamento'!J13:'Lançamento'!L13)=3,AVERAGE('Lançamento'!J13:'Lançamento'!L13),NA())</f>
        <v/>
      </c>
      <c r="BI13" s="42">
        <f>IF(COUNT('Lançamento'!K13:'Lançamento'!M13)=3,AVERAGE('Lançamento'!K13:'Lançamento'!M13),NA())</f>
        <v/>
      </c>
      <c r="BJ13" s="42">
        <f>IF('Lançamento'!A13="","",'Lançamento'!A13&amp;"   |   Média YTD: "&amp;IF('Lançamento'!O13="","-",ROUND('Lançamento'!O13*100,1)&amp;"%"))</f>
        <v/>
      </c>
    </row>
    <row r="14">
      <c r="A14" s="42">
        <f>IF('Lançamento'!A14="","",'Lançamento'!A14)</f>
        <v/>
      </c>
      <c r="B14" s="43">
        <f>IF(AND(ISNUMBER('Lançamento'!B14),ROUND('Lançamento'!B14,6)&gt;=ROUND('Lançamento'!$H$3,6)),'Lançamento'!B14,0)</f>
        <v/>
      </c>
      <c r="C14" s="43">
        <f>IF(AND(ISNUMBER('Lançamento'!C14),ROUND('Lançamento'!C14,6)&gt;=ROUND('Lançamento'!$H$3,6)),'Lançamento'!C14,0)</f>
        <v/>
      </c>
      <c r="D14" s="43">
        <f>IF(AND(ISNUMBER('Lançamento'!D14),ROUND('Lançamento'!D14,6)&gt;=ROUND('Lançamento'!$H$3,6)),'Lançamento'!D14,0)</f>
        <v/>
      </c>
      <c r="E14" s="43">
        <f>IF(AND(ISNUMBER('Lançamento'!E14),ROUND('Lançamento'!E14,6)&gt;=ROUND('Lançamento'!$H$3,6)),'Lançamento'!E14,0)</f>
        <v/>
      </c>
      <c r="F14" s="43">
        <f>IF(AND(ISNUMBER('Lançamento'!F14),ROUND('Lançamento'!F14,6)&gt;=ROUND('Lançamento'!$H$3,6)),'Lançamento'!F14,0)</f>
        <v/>
      </c>
      <c r="G14" s="43">
        <f>IF(AND(ISNUMBER('Lançamento'!G14),ROUND('Lançamento'!G14,6)&gt;=ROUND('Lançamento'!$H$3,6)),'Lançamento'!G14,0)</f>
        <v/>
      </c>
      <c r="H14" s="43">
        <f>IF(AND(ISNUMBER('Lançamento'!H14),ROUND('Lançamento'!H14,6)&gt;=ROUND('Lançamento'!$H$3,6)),'Lançamento'!H14,0)</f>
        <v/>
      </c>
      <c r="I14" s="43">
        <f>IF(AND(ISNUMBER('Lançamento'!I14),ROUND('Lançamento'!I14,6)&gt;=ROUND('Lançamento'!$H$3,6)),'Lançamento'!I14,0)</f>
        <v/>
      </c>
      <c r="J14" s="43">
        <f>IF(AND(ISNUMBER('Lançamento'!J14),ROUND('Lançamento'!J14,6)&gt;=ROUND('Lançamento'!$H$3,6)),'Lançamento'!J14,0)</f>
        <v/>
      </c>
      <c r="K14" s="43">
        <f>IF(AND(ISNUMBER('Lançamento'!K14),ROUND('Lançamento'!K14,6)&gt;=ROUND('Lançamento'!$H$3,6)),'Lançamento'!K14,0)</f>
        <v/>
      </c>
      <c r="L14" s="43">
        <f>IF(AND(ISNUMBER('Lançamento'!L14),ROUND('Lançamento'!L14,6)&gt;=ROUND('Lançamento'!$H$3,6)),'Lançamento'!L14,0)</f>
        <v/>
      </c>
      <c r="M14" s="43">
        <f>IF(AND(ISNUMBER('Lançamento'!M14),ROUND('Lançamento'!M14,6)&gt;=ROUND('Lançamento'!$H$3,6)),'Lançamento'!M14,0)</f>
        <v/>
      </c>
      <c r="N14" s="43">
        <f>IF(AND(ISNUMBER('Lançamento'!B14),ROUND('Lançamento'!B14,6)&lt;ROUND('Lançamento'!$H$3,6),ROUND('Lançamento'!B14,6)&gt;=ROUND('Lançamento'!$K$3,6)),'Lançamento'!B14,0)</f>
        <v/>
      </c>
      <c r="O14" s="43">
        <f>IF(AND(ISNUMBER('Lançamento'!C14),ROUND('Lançamento'!C14,6)&lt;ROUND('Lançamento'!$H$3,6),ROUND('Lançamento'!C14,6)&gt;=ROUND('Lançamento'!$K$3,6)),'Lançamento'!C14,0)</f>
        <v/>
      </c>
      <c r="P14" s="43">
        <f>IF(AND(ISNUMBER('Lançamento'!D14),ROUND('Lançamento'!D14,6)&lt;ROUND('Lançamento'!$H$3,6),ROUND('Lançamento'!D14,6)&gt;=ROUND('Lançamento'!$K$3,6)),'Lançamento'!D14,0)</f>
        <v/>
      </c>
      <c r="Q14" s="43">
        <f>IF(AND(ISNUMBER('Lançamento'!E14),ROUND('Lançamento'!E14,6)&lt;ROUND('Lançamento'!$H$3,6),ROUND('Lançamento'!E14,6)&gt;=ROUND('Lançamento'!$K$3,6)),'Lançamento'!E14,0)</f>
        <v/>
      </c>
      <c r="R14" s="43">
        <f>IF(AND(ISNUMBER('Lançamento'!F14),ROUND('Lançamento'!F14,6)&lt;ROUND('Lançamento'!$H$3,6),ROUND('Lançamento'!F14,6)&gt;=ROUND('Lançamento'!$K$3,6)),'Lançamento'!F14,0)</f>
        <v/>
      </c>
      <c r="S14" s="43">
        <f>IF(AND(ISNUMBER('Lançamento'!G14),ROUND('Lançamento'!G14,6)&lt;ROUND('Lançamento'!$H$3,6),ROUND('Lançamento'!G14,6)&gt;=ROUND('Lançamento'!$K$3,6)),'Lançamento'!G14,0)</f>
        <v/>
      </c>
      <c r="T14" s="43">
        <f>IF(AND(ISNUMBER('Lançamento'!H14),ROUND('Lançamento'!H14,6)&lt;ROUND('Lançamento'!$H$3,6),ROUND('Lançamento'!H14,6)&gt;=ROUND('Lançamento'!$K$3,6)),'Lançamento'!H14,0)</f>
        <v/>
      </c>
      <c r="U14" s="43">
        <f>IF(AND(ISNUMBER('Lançamento'!I14),ROUND('Lançamento'!I14,6)&lt;ROUND('Lançamento'!$H$3,6),ROUND('Lançamento'!I14,6)&gt;=ROUND('Lançamento'!$K$3,6)),'Lançamento'!I14,0)</f>
        <v/>
      </c>
      <c r="V14" s="43">
        <f>IF(AND(ISNUMBER('Lançamento'!J14),ROUND('Lançamento'!J14,6)&lt;ROUND('Lançamento'!$H$3,6),ROUND('Lançamento'!J14,6)&gt;=ROUND('Lançamento'!$K$3,6)),'Lançamento'!J14,0)</f>
        <v/>
      </c>
      <c r="W14" s="43">
        <f>IF(AND(ISNUMBER('Lançamento'!K14),ROUND('Lançamento'!K14,6)&lt;ROUND('Lançamento'!$H$3,6),ROUND('Lançamento'!K14,6)&gt;=ROUND('Lançamento'!$K$3,6)),'Lançamento'!K14,0)</f>
        <v/>
      </c>
      <c r="X14" s="43">
        <f>IF(AND(ISNUMBER('Lançamento'!L14),ROUND('Lançamento'!L14,6)&lt;ROUND('Lançamento'!$H$3,6),ROUND('Lançamento'!L14,6)&gt;=ROUND('Lançamento'!$K$3,6)),'Lançamento'!L14,0)</f>
        <v/>
      </c>
      <c r="Y14" s="43">
        <f>IF(AND(ISNUMBER('Lançamento'!M14),ROUND('Lançamento'!M14,6)&lt;ROUND('Lançamento'!$H$3,6),ROUND('Lançamento'!M14,6)&gt;=ROUND('Lançamento'!$K$3,6)),'Lançamento'!M14,0)</f>
        <v/>
      </c>
      <c r="Z14" s="43">
        <f>IF(AND(ISNUMBER('Lançamento'!B14),ROUND('Lançamento'!B14,6)&lt;ROUND('Lançamento'!$K$3,6)),'Lançamento'!B14,0)</f>
        <v/>
      </c>
      <c r="AA14" s="43">
        <f>IF(AND(ISNUMBER('Lançamento'!C14),ROUND('Lançamento'!C14,6)&lt;ROUND('Lançamento'!$K$3,6)),'Lançamento'!C14,0)</f>
        <v/>
      </c>
      <c r="AB14" s="43">
        <f>IF(AND(ISNUMBER('Lançamento'!D14),ROUND('Lançamento'!D14,6)&lt;ROUND('Lançamento'!$K$3,6)),'Lançamento'!D14,0)</f>
        <v/>
      </c>
      <c r="AC14" s="43">
        <f>IF(AND(ISNUMBER('Lançamento'!E14),ROUND('Lançamento'!E14,6)&lt;ROUND('Lançamento'!$K$3,6)),'Lançamento'!E14,0)</f>
        <v/>
      </c>
      <c r="AD14" s="43">
        <f>IF(AND(ISNUMBER('Lançamento'!F14),ROUND('Lançamento'!F14,6)&lt;ROUND('Lançamento'!$K$3,6)),'Lançamento'!F14,0)</f>
        <v/>
      </c>
      <c r="AE14" s="43">
        <f>IF(AND(ISNUMBER('Lançamento'!G14),ROUND('Lançamento'!G14,6)&lt;ROUND('Lançamento'!$K$3,6)),'Lançamento'!G14,0)</f>
        <v/>
      </c>
      <c r="AF14" s="43">
        <f>IF(AND(ISNUMBER('Lançamento'!H14),ROUND('Lançamento'!H14,6)&lt;ROUND('Lançamento'!$K$3,6)),'Lançamento'!H14,0)</f>
        <v/>
      </c>
      <c r="AG14" s="43">
        <f>IF(AND(ISNUMBER('Lançamento'!I14),ROUND('Lançamento'!I14,6)&lt;ROUND('Lançamento'!$K$3,6)),'Lançamento'!I14,0)</f>
        <v/>
      </c>
      <c r="AH14" s="43">
        <f>IF(AND(ISNUMBER('Lançamento'!J14),ROUND('Lançamento'!J14,6)&lt;ROUND('Lançamento'!$K$3,6)),'Lançamento'!J14,0)</f>
        <v/>
      </c>
      <c r="AI14" s="43">
        <f>IF(AND(ISNUMBER('Lançamento'!K14),ROUND('Lançamento'!K14,6)&lt;ROUND('Lançamento'!$K$3,6)),'Lançamento'!K14,0)</f>
        <v/>
      </c>
      <c r="AJ14" s="43">
        <f>IF(AND(ISNUMBER('Lançamento'!L14),ROUND('Lançamento'!L14,6)&lt;ROUND('Lançamento'!$K$3,6)),'Lançamento'!L14,0)</f>
        <v/>
      </c>
      <c r="AK14" s="43">
        <f>IF(AND(ISNUMBER('Lançamento'!M14),ROUND('Lançamento'!M14,6)&lt;ROUND('Lançamento'!$K$3,6)),'Lançamento'!M14,0)</f>
        <v/>
      </c>
      <c r="AL14" s="42">
        <f>IF(ISNUMBER('Lançamento'!$N14),'Lançamento'!$N14,0)</f>
        <v/>
      </c>
      <c r="AM14" s="42">
        <f>IF(ISNUMBER('Lançamento'!$N14),'Lançamento'!$N14,0)</f>
        <v/>
      </c>
      <c r="AN14" s="42">
        <f>IF(ISNUMBER('Lançamento'!$N14),'Lançamento'!$N14,0)</f>
        <v/>
      </c>
      <c r="AO14" s="42">
        <f>IF(ISNUMBER('Lançamento'!$N14),'Lançamento'!$N14,0)</f>
        <v/>
      </c>
      <c r="AP14" s="42">
        <f>IF(ISNUMBER('Lançamento'!$N14),'Lançamento'!$N14,0)</f>
        <v/>
      </c>
      <c r="AQ14" s="42">
        <f>IF(ISNUMBER('Lançamento'!$N14),'Lançamento'!$N14,0)</f>
        <v/>
      </c>
      <c r="AR14" s="42">
        <f>IF(ISNUMBER('Lançamento'!$N14),'Lançamento'!$N14,0)</f>
        <v/>
      </c>
      <c r="AS14" s="42">
        <f>IF(ISNUMBER('Lançamento'!$N14),'Lançamento'!$N14,0)</f>
        <v/>
      </c>
      <c r="AT14" s="42">
        <f>IF(ISNUMBER('Lançamento'!$N14),'Lançamento'!$N14,0)</f>
        <v/>
      </c>
      <c r="AU14" s="42">
        <f>IF(ISNUMBER('Lançamento'!$N14),'Lançamento'!$N14,0)</f>
        <v/>
      </c>
      <c r="AV14" s="42">
        <f>IF(ISNUMBER('Lançamento'!$N14),'Lançamento'!$N14,0)</f>
        <v/>
      </c>
      <c r="AW14" s="42">
        <f>IF(ISNUMBER('Lançamento'!$N14),'Lançamento'!$N14,0)</f>
        <v/>
      </c>
      <c r="AX14" s="42">
        <f>NA()</f>
        <v/>
      </c>
      <c r="AY14" s="42">
        <f>NA()</f>
        <v/>
      </c>
      <c r="AZ14" s="42">
        <f>IF(COUNT('Lançamento'!B14:'Lançamento'!D14)=3,AVERAGE('Lançamento'!B14:'Lançamento'!D14),NA())</f>
        <v/>
      </c>
      <c r="BA14" s="42">
        <f>IF(COUNT('Lançamento'!C14:'Lançamento'!E14)=3,AVERAGE('Lançamento'!C14:'Lançamento'!E14),NA())</f>
        <v/>
      </c>
      <c r="BB14" s="42">
        <f>IF(COUNT('Lançamento'!D14:'Lançamento'!F14)=3,AVERAGE('Lançamento'!D14:'Lançamento'!F14),NA())</f>
        <v/>
      </c>
      <c r="BC14" s="42">
        <f>IF(COUNT('Lançamento'!E14:'Lançamento'!G14)=3,AVERAGE('Lançamento'!E14:'Lançamento'!G14),NA())</f>
        <v/>
      </c>
      <c r="BD14" s="42">
        <f>IF(COUNT('Lançamento'!F14:'Lançamento'!H14)=3,AVERAGE('Lançamento'!F14:'Lançamento'!H14),NA())</f>
        <v/>
      </c>
      <c r="BE14" s="42">
        <f>IF(COUNT('Lançamento'!G14:'Lançamento'!I14)=3,AVERAGE('Lançamento'!G14:'Lançamento'!I14),NA())</f>
        <v/>
      </c>
      <c r="BF14" s="42">
        <f>IF(COUNT('Lançamento'!H14:'Lançamento'!J14)=3,AVERAGE('Lançamento'!H14:'Lançamento'!J14),NA())</f>
        <v/>
      </c>
      <c r="BG14" s="42">
        <f>IF(COUNT('Lançamento'!I14:'Lançamento'!K14)=3,AVERAGE('Lançamento'!I14:'Lançamento'!K14),NA())</f>
        <v/>
      </c>
      <c r="BH14" s="42">
        <f>IF(COUNT('Lançamento'!J14:'Lançamento'!L14)=3,AVERAGE('Lançamento'!J14:'Lançamento'!L14),NA())</f>
        <v/>
      </c>
      <c r="BI14" s="42">
        <f>IF(COUNT('Lançamento'!K14:'Lançamento'!M14)=3,AVERAGE('Lançamento'!K14:'Lançamento'!M14),NA())</f>
        <v/>
      </c>
      <c r="BJ14" s="42">
        <f>IF('Lançamento'!A14="","",'Lançamento'!A14&amp;"   |   Média YTD: "&amp;IF('Lançamento'!O14="","-",ROUND('Lançamento'!O14*100,1)&amp;"%"))</f>
        <v/>
      </c>
    </row>
    <row r="15">
      <c r="A15" s="42">
        <f>IF('Lançamento'!A15="","",'Lançamento'!A15)</f>
        <v/>
      </c>
      <c r="B15" s="43">
        <f>IF(AND(ISNUMBER('Lançamento'!B15),ROUND('Lançamento'!B15,6)&gt;=ROUND('Lançamento'!$H$3,6)),'Lançamento'!B15,0)</f>
        <v/>
      </c>
      <c r="C15" s="43">
        <f>IF(AND(ISNUMBER('Lançamento'!C15),ROUND('Lançamento'!C15,6)&gt;=ROUND('Lançamento'!$H$3,6)),'Lançamento'!C15,0)</f>
        <v/>
      </c>
      <c r="D15" s="43">
        <f>IF(AND(ISNUMBER('Lançamento'!D15),ROUND('Lançamento'!D15,6)&gt;=ROUND('Lançamento'!$H$3,6)),'Lançamento'!D15,0)</f>
        <v/>
      </c>
      <c r="E15" s="43">
        <f>IF(AND(ISNUMBER('Lançamento'!E15),ROUND('Lançamento'!E15,6)&gt;=ROUND('Lançamento'!$H$3,6)),'Lançamento'!E15,0)</f>
        <v/>
      </c>
      <c r="F15" s="43">
        <f>IF(AND(ISNUMBER('Lançamento'!F15),ROUND('Lançamento'!F15,6)&gt;=ROUND('Lançamento'!$H$3,6)),'Lançamento'!F15,0)</f>
        <v/>
      </c>
      <c r="G15" s="43">
        <f>IF(AND(ISNUMBER('Lançamento'!G15),ROUND('Lançamento'!G15,6)&gt;=ROUND('Lançamento'!$H$3,6)),'Lançamento'!G15,0)</f>
        <v/>
      </c>
      <c r="H15" s="43">
        <f>IF(AND(ISNUMBER('Lançamento'!H15),ROUND('Lançamento'!H15,6)&gt;=ROUND('Lançamento'!$H$3,6)),'Lançamento'!H15,0)</f>
        <v/>
      </c>
      <c r="I15" s="43">
        <f>IF(AND(ISNUMBER('Lançamento'!I15),ROUND('Lançamento'!I15,6)&gt;=ROUND('Lançamento'!$H$3,6)),'Lançamento'!I15,0)</f>
        <v/>
      </c>
      <c r="J15" s="43">
        <f>IF(AND(ISNUMBER('Lançamento'!J15),ROUND('Lançamento'!J15,6)&gt;=ROUND('Lançamento'!$H$3,6)),'Lançamento'!J15,0)</f>
        <v/>
      </c>
      <c r="K15" s="43">
        <f>IF(AND(ISNUMBER('Lançamento'!K15),ROUND('Lançamento'!K15,6)&gt;=ROUND('Lançamento'!$H$3,6)),'Lançamento'!K15,0)</f>
        <v/>
      </c>
      <c r="L15" s="43">
        <f>IF(AND(ISNUMBER('Lançamento'!L15),ROUND('Lançamento'!L15,6)&gt;=ROUND('Lançamento'!$H$3,6)),'Lançamento'!L15,0)</f>
        <v/>
      </c>
      <c r="M15" s="43">
        <f>IF(AND(ISNUMBER('Lançamento'!M15),ROUND('Lançamento'!M15,6)&gt;=ROUND('Lançamento'!$H$3,6)),'Lançamento'!M15,0)</f>
        <v/>
      </c>
      <c r="N15" s="43">
        <f>IF(AND(ISNUMBER('Lançamento'!B15),ROUND('Lançamento'!B15,6)&lt;ROUND('Lançamento'!$H$3,6),ROUND('Lançamento'!B15,6)&gt;=ROUND('Lançamento'!$K$3,6)),'Lançamento'!B15,0)</f>
        <v/>
      </c>
      <c r="O15" s="43">
        <f>IF(AND(ISNUMBER('Lançamento'!C15),ROUND('Lançamento'!C15,6)&lt;ROUND('Lançamento'!$H$3,6),ROUND('Lançamento'!C15,6)&gt;=ROUND('Lançamento'!$K$3,6)),'Lançamento'!C15,0)</f>
        <v/>
      </c>
      <c r="P15" s="43">
        <f>IF(AND(ISNUMBER('Lançamento'!D15),ROUND('Lançamento'!D15,6)&lt;ROUND('Lançamento'!$H$3,6),ROUND('Lançamento'!D15,6)&gt;=ROUND('Lançamento'!$K$3,6)),'Lançamento'!D15,0)</f>
        <v/>
      </c>
      <c r="Q15" s="43">
        <f>IF(AND(ISNUMBER('Lançamento'!E15),ROUND('Lançamento'!E15,6)&lt;ROUND('Lançamento'!$H$3,6),ROUND('Lançamento'!E15,6)&gt;=ROUND('Lançamento'!$K$3,6)),'Lançamento'!E15,0)</f>
        <v/>
      </c>
      <c r="R15" s="43">
        <f>IF(AND(ISNUMBER('Lançamento'!F15),ROUND('Lançamento'!F15,6)&lt;ROUND('Lançamento'!$H$3,6),ROUND('Lançamento'!F15,6)&gt;=ROUND('Lançamento'!$K$3,6)),'Lançamento'!F15,0)</f>
        <v/>
      </c>
      <c r="S15" s="43">
        <f>IF(AND(ISNUMBER('Lançamento'!G15),ROUND('Lançamento'!G15,6)&lt;ROUND('Lançamento'!$H$3,6),ROUND('Lançamento'!G15,6)&gt;=ROUND('Lançamento'!$K$3,6)),'Lançamento'!G15,0)</f>
        <v/>
      </c>
      <c r="T15" s="43">
        <f>IF(AND(ISNUMBER('Lançamento'!H15),ROUND('Lançamento'!H15,6)&lt;ROUND('Lançamento'!$H$3,6),ROUND('Lançamento'!H15,6)&gt;=ROUND('Lançamento'!$K$3,6)),'Lançamento'!H15,0)</f>
        <v/>
      </c>
      <c r="U15" s="43">
        <f>IF(AND(ISNUMBER('Lançamento'!I15),ROUND('Lançamento'!I15,6)&lt;ROUND('Lançamento'!$H$3,6),ROUND('Lançamento'!I15,6)&gt;=ROUND('Lançamento'!$K$3,6)),'Lançamento'!I15,0)</f>
        <v/>
      </c>
      <c r="V15" s="43">
        <f>IF(AND(ISNUMBER('Lançamento'!J15),ROUND('Lançamento'!J15,6)&lt;ROUND('Lançamento'!$H$3,6),ROUND('Lançamento'!J15,6)&gt;=ROUND('Lançamento'!$K$3,6)),'Lançamento'!J15,0)</f>
        <v/>
      </c>
      <c r="W15" s="43">
        <f>IF(AND(ISNUMBER('Lançamento'!K15),ROUND('Lançamento'!K15,6)&lt;ROUND('Lançamento'!$H$3,6),ROUND('Lançamento'!K15,6)&gt;=ROUND('Lançamento'!$K$3,6)),'Lançamento'!K15,0)</f>
        <v/>
      </c>
      <c r="X15" s="43">
        <f>IF(AND(ISNUMBER('Lançamento'!L15),ROUND('Lançamento'!L15,6)&lt;ROUND('Lançamento'!$H$3,6),ROUND('Lançamento'!L15,6)&gt;=ROUND('Lançamento'!$K$3,6)),'Lançamento'!L15,0)</f>
        <v/>
      </c>
      <c r="Y15" s="43">
        <f>IF(AND(ISNUMBER('Lançamento'!M15),ROUND('Lançamento'!M15,6)&lt;ROUND('Lançamento'!$H$3,6),ROUND('Lançamento'!M15,6)&gt;=ROUND('Lançamento'!$K$3,6)),'Lançamento'!M15,0)</f>
        <v/>
      </c>
      <c r="Z15" s="43">
        <f>IF(AND(ISNUMBER('Lançamento'!B15),ROUND('Lançamento'!B15,6)&lt;ROUND('Lançamento'!$K$3,6)),'Lançamento'!B15,0)</f>
        <v/>
      </c>
      <c r="AA15" s="43">
        <f>IF(AND(ISNUMBER('Lançamento'!C15),ROUND('Lançamento'!C15,6)&lt;ROUND('Lançamento'!$K$3,6)),'Lançamento'!C15,0)</f>
        <v/>
      </c>
      <c r="AB15" s="43">
        <f>IF(AND(ISNUMBER('Lançamento'!D15),ROUND('Lançamento'!D15,6)&lt;ROUND('Lançamento'!$K$3,6)),'Lançamento'!D15,0)</f>
        <v/>
      </c>
      <c r="AC15" s="43">
        <f>IF(AND(ISNUMBER('Lançamento'!E15),ROUND('Lançamento'!E15,6)&lt;ROUND('Lançamento'!$K$3,6)),'Lançamento'!E15,0)</f>
        <v/>
      </c>
      <c r="AD15" s="43">
        <f>IF(AND(ISNUMBER('Lançamento'!F15),ROUND('Lançamento'!F15,6)&lt;ROUND('Lançamento'!$K$3,6)),'Lançamento'!F15,0)</f>
        <v/>
      </c>
      <c r="AE15" s="43">
        <f>IF(AND(ISNUMBER('Lançamento'!G15),ROUND('Lançamento'!G15,6)&lt;ROUND('Lançamento'!$K$3,6)),'Lançamento'!G15,0)</f>
        <v/>
      </c>
      <c r="AF15" s="43">
        <f>IF(AND(ISNUMBER('Lançamento'!H15),ROUND('Lançamento'!H15,6)&lt;ROUND('Lançamento'!$K$3,6)),'Lançamento'!H15,0)</f>
        <v/>
      </c>
      <c r="AG15" s="43">
        <f>IF(AND(ISNUMBER('Lançamento'!I15),ROUND('Lançamento'!I15,6)&lt;ROUND('Lançamento'!$K$3,6)),'Lançamento'!I15,0)</f>
        <v/>
      </c>
      <c r="AH15" s="43">
        <f>IF(AND(ISNUMBER('Lançamento'!J15),ROUND('Lançamento'!J15,6)&lt;ROUND('Lançamento'!$K$3,6)),'Lançamento'!J15,0)</f>
        <v/>
      </c>
      <c r="AI15" s="43">
        <f>IF(AND(ISNUMBER('Lançamento'!K15),ROUND('Lançamento'!K15,6)&lt;ROUND('Lançamento'!$K$3,6)),'Lançamento'!K15,0)</f>
        <v/>
      </c>
      <c r="AJ15" s="43">
        <f>IF(AND(ISNUMBER('Lançamento'!L15),ROUND('Lançamento'!L15,6)&lt;ROUND('Lançamento'!$K$3,6)),'Lançamento'!L15,0)</f>
        <v/>
      </c>
      <c r="AK15" s="43">
        <f>IF(AND(ISNUMBER('Lançamento'!M15),ROUND('Lançamento'!M15,6)&lt;ROUND('Lançamento'!$K$3,6)),'Lançamento'!M15,0)</f>
        <v/>
      </c>
      <c r="AL15" s="42">
        <f>IF(ISNUMBER('Lançamento'!$N15),'Lançamento'!$N15,0)</f>
        <v/>
      </c>
      <c r="AM15" s="42">
        <f>IF(ISNUMBER('Lançamento'!$N15),'Lançamento'!$N15,0)</f>
        <v/>
      </c>
      <c r="AN15" s="42">
        <f>IF(ISNUMBER('Lançamento'!$N15),'Lançamento'!$N15,0)</f>
        <v/>
      </c>
      <c r="AO15" s="42">
        <f>IF(ISNUMBER('Lançamento'!$N15),'Lançamento'!$N15,0)</f>
        <v/>
      </c>
      <c r="AP15" s="42">
        <f>IF(ISNUMBER('Lançamento'!$N15),'Lançamento'!$N15,0)</f>
        <v/>
      </c>
      <c r="AQ15" s="42">
        <f>IF(ISNUMBER('Lançamento'!$N15),'Lançamento'!$N15,0)</f>
        <v/>
      </c>
      <c r="AR15" s="42">
        <f>IF(ISNUMBER('Lançamento'!$N15),'Lançamento'!$N15,0)</f>
        <v/>
      </c>
      <c r="AS15" s="42">
        <f>IF(ISNUMBER('Lançamento'!$N15),'Lançamento'!$N15,0)</f>
        <v/>
      </c>
      <c r="AT15" s="42">
        <f>IF(ISNUMBER('Lançamento'!$N15),'Lançamento'!$N15,0)</f>
        <v/>
      </c>
      <c r="AU15" s="42">
        <f>IF(ISNUMBER('Lançamento'!$N15),'Lançamento'!$N15,0)</f>
        <v/>
      </c>
      <c r="AV15" s="42">
        <f>IF(ISNUMBER('Lançamento'!$N15),'Lançamento'!$N15,0)</f>
        <v/>
      </c>
      <c r="AW15" s="42">
        <f>IF(ISNUMBER('Lançamento'!$N15),'Lançamento'!$N15,0)</f>
        <v/>
      </c>
      <c r="AX15" s="42">
        <f>NA()</f>
        <v/>
      </c>
      <c r="AY15" s="42">
        <f>NA()</f>
        <v/>
      </c>
      <c r="AZ15" s="42">
        <f>IF(COUNT('Lançamento'!B15:'Lançamento'!D15)=3,AVERAGE('Lançamento'!B15:'Lançamento'!D15),NA())</f>
        <v/>
      </c>
      <c r="BA15" s="42">
        <f>IF(COUNT('Lançamento'!C15:'Lançamento'!E15)=3,AVERAGE('Lançamento'!C15:'Lançamento'!E15),NA())</f>
        <v/>
      </c>
      <c r="BB15" s="42">
        <f>IF(COUNT('Lançamento'!D15:'Lançamento'!F15)=3,AVERAGE('Lançamento'!D15:'Lançamento'!F15),NA())</f>
        <v/>
      </c>
      <c r="BC15" s="42">
        <f>IF(COUNT('Lançamento'!E15:'Lançamento'!G15)=3,AVERAGE('Lançamento'!E15:'Lançamento'!G15),NA())</f>
        <v/>
      </c>
      <c r="BD15" s="42">
        <f>IF(COUNT('Lançamento'!F15:'Lançamento'!H15)=3,AVERAGE('Lançamento'!F15:'Lançamento'!H15),NA())</f>
        <v/>
      </c>
      <c r="BE15" s="42">
        <f>IF(COUNT('Lançamento'!G15:'Lançamento'!I15)=3,AVERAGE('Lançamento'!G15:'Lançamento'!I15),NA())</f>
        <v/>
      </c>
      <c r="BF15" s="42">
        <f>IF(COUNT('Lançamento'!H15:'Lançamento'!J15)=3,AVERAGE('Lançamento'!H15:'Lançamento'!J15),NA())</f>
        <v/>
      </c>
      <c r="BG15" s="42">
        <f>IF(COUNT('Lançamento'!I15:'Lançamento'!K15)=3,AVERAGE('Lançamento'!I15:'Lançamento'!K15),NA())</f>
        <v/>
      </c>
      <c r="BH15" s="42">
        <f>IF(COUNT('Lançamento'!J15:'Lançamento'!L15)=3,AVERAGE('Lançamento'!J15:'Lançamento'!L15),NA())</f>
        <v/>
      </c>
      <c r="BI15" s="42">
        <f>IF(COUNT('Lançamento'!K15:'Lançamento'!M15)=3,AVERAGE('Lançamento'!K15:'Lançamento'!M15),NA())</f>
        <v/>
      </c>
      <c r="BJ15" s="42">
        <f>IF('Lançamento'!A15="","",'Lançamento'!A15&amp;"   |   Média YTD: "&amp;IF('Lançamento'!O15="","-",ROUND('Lançamento'!O15*100,1)&amp;"%"))</f>
        <v/>
      </c>
    </row>
    <row r="16">
      <c r="A16" s="42">
        <f>IF('Lançamento'!A16="","",'Lançamento'!A16)</f>
        <v/>
      </c>
      <c r="B16" s="43">
        <f>IF(AND(ISNUMBER('Lançamento'!B16),ROUND('Lançamento'!B16,6)&gt;=ROUND('Lançamento'!$H$3,6)),'Lançamento'!B16,0)</f>
        <v/>
      </c>
      <c r="C16" s="43">
        <f>IF(AND(ISNUMBER('Lançamento'!C16),ROUND('Lançamento'!C16,6)&gt;=ROUND('Lançamento'!$H$3,6)),'Lançamento'!C16,0)</f>
        <v/>
      </c>
      <c r="D16" s="43">
        <f>IF(AND(ISNUMBER('Lançamento'!D16),ROUND('Lançamento'!D16,6)&gt;=ROUND('Lançamento'!$H$3,6)),'Lançamento'!D16,0)</f>
        <v/>
      </c>
      <c r="E16" s="43">
        <f>IF(AND(ISNUMBER('Lançamento'!E16),ROUND('Lançamento'!E16,6)&gt;=ROUND('Lançamento'!$H$3,6)),'Lançamento'!E16,0)</f>
        <v/>
      </c>
      <c r="F16" s="43">
        <f>IF(AND(ISNUMBER('Lançamento'!F16),ROUND('Lançamento'!F16,6)&gt;=ROUND('Lançamento'!$H$3,6)),'Lançamento'!F16,0)</f>
        <v/>
      </c>
      <c r="G16" s="43">
        <f>IF(AND(ISNUMBER('Lançamento'!G16),ROUND('Lançamento'!G16,6)&gt;=ROUND('Lançamento'!$H$3,6)),'Lançamento'!G16,0)</f>
        <v/>
      </c>
      <c r="H16" s="43">
        <f>IF(AND(ISNUMBER('Lançamento'!H16),ROUND('Lançamento'!H16,6)&gt;=ROUND('Lançamento'!$H$3,6)),'Lançamento'!H16,0)</f>
        <v/>
      </c>
      <c r="I16" s="43">
        <f>IF(AND(ISNUMBER('Lançamento'!I16),ROUND('Lançamento'!I16,6)&gt;=ROUND('Lançamento'!$H$3,6)),'Lançamento'!I16,0)</f>
        <v/>
      </c>
      <c r="J16" s="43">
        <f>IF(AND(ISNUMBER('Lançamento'!J16),ROUND('Lançamento'!J16,6)&gt;=ROUND('Lançamento'!$H$3,6)),'Lançamento'!J16,0)</f>
        <v/>
      </c>
      <c r="K16" s="43">
        <f>IF(AND(ISNUMBER('Lançamento'!K16),ROUND('Lançamento'!K16,6)&gt;=ROUND('Lançamento'!$H$3,6)),'Lançamento'!K16,0)</f>
        <v/>
      </c>
      <c r="L16" s="43">
        <f>IF(AND(ISNUMBER('Lançamento'!L16),ROUND('Lançamento'!L16,6)&gt;=ROUND('Lançamento'!$H$3,6)),'Lançamento'!L16,0)</f>
        <v/>
      </c>
      <c r="M16" s="43">
        <f>IF(AND(ISNUMBER('Lançamento'!M16),ROUND('Lançamento'!M16,6)&gt;=ROUND('Lançamento'!$H$3,6)),'Lançamento'!M16,0)</f>
        <v/>
      </c>
      <c r="N16" s="43">
        <f>IF(AND(ISNUMBER('Lançamento'!B16),ROUND('Lançamento'!B16,6)&lt;ROUND('Lançamento'!$H$3,6),ROUND('Lançamento'!B16,6)&gt;=ROUND('Lançamento'!$K$3,6)),'Lançamento'!B16,0)</f>
        <v/>
      </c>
      <c r="O16" s="43">
        <f>IF(AND(ISNUMBER('Lançamento'!C16),ROUND('Lançamento'!C16,6)&lt;ROUND('Lançamento'!$H$3,6),ROUND('Lançamento'!C16,6)&gt;=ROUND('Lançamento'!$K$3,6)),'Lançamento'!C16,0)</f>
        <v/>
      </c>
      <c r="P16" s="43">
        <f>IF(AND(ISNUMBER('Lançamento'!D16),ROUND('Lançamento'!D16,6)&lt;ROUND('Lançamento'!$H$3,6),ROUND('Lançamento'!D16,6)&gt;=ROUND('Lançamento'!$K$3,6)),'Lançamento'!D16,0)</f>
        <v/>
      </c>
      <c r="Q16" s="43">
        <f>IF(AND(ISNUMBER('Lançamento'!E16),ROUND('Lançamento'!E16,6)&lt;ROUND('Lançamento'!$H$3,6),ROUND('Lançamento'!E16,6)&gt;=ROUND('Lançamento'!$K$3,6)),'Lançamento'!E16,0)</f>
        <v/>
      </c>
      <c r="R16" s="43">
        <f>IF(AND(ISNUMBER('Lançamento'!F16),ROUND('Lançamento'!F16,6)&lt;ROUND('Lançamento'!$H$3,6),ROUND('Lançamento'!F16,6)&gt;=ROUND('Lançamento'!$K$3,6)),'Lançamento'!F16,0)</f>
        <v/>
      </c>
      <c r="S16" s="43">
        <f>IF(AND(ISNUMBER('Lançamento'!G16),ROUND('Lançamento'!G16,6)&lt;ROUND('Lançamento'!$H$3,6),ROUND('Lançamento'!G16,6)&gt;=ROUND('Lançamento'!$K$3,6)),'Lançamento'!G16,0)</f>
        <v/>
      </c>
      <c r="T16" s="43">
        <f>IF(AND(ISNUMBER('Lançamento'!H16),ROUND('Lançamento'!H16,6)&lt;ROUND('Lançamento'!$H$3,6),ROUND('Lançamento'!H16,6)&gt;=ROUND('Lançamento'!$K$3,6)),'Lançamento'!H16,0)</f>
        <v/>
      </c>
      <c r="U16" s="43">
        <f>IF(AND(ISNUMBER('Lançamento'!I16),ROUND('Lançamento'!I16,6)&lt;ROUND('Lançamento'!$H$3,6),ROUND('Lançamento'!I16,6)&gt;=ROUND('Lançamento'!$K$3,6)),'Lançamento'!I16,0)</f>
        <v/>
      </c>
      <c r="V16" s="43">
        <f>IF(AND(ISNUMBER('Lançamento'!J16),ROUND('Lançamento'!J16,6)&lt;ROUND('Lançamento'!$H$3,6),ROUND('Lançamento'!J16,6)&gt;=ROUND('Lançamento'!$K$3,6)),'Lançamento'!J16,0)</f>
        <v/>
      </c>
      <c r="W16" s="43">
        <f>IF(AND(ISNUMBER('Lançamento'!K16),ROUND('Lançamento'!K16,6)&lt;ROUND('Lançamento'!$H$3,6),ROUND('Lançamento'!K16,6)&gt;=ROUND('Lançamento'!$K$3,6)),'Lançamento'!K16,0)</f>
        <v/>
      </c>
      <c r="X16" s="43">
        <f>IF(AND(ISNUMBER('Lançamento'!L16),ROUND('Lançamento'!L16,6)&lt;ROUND('Lançamento'!$H$3,6),ROUND('Lançamento'!L16,6)&gt;=ROUND('Lançamento'!$K$3,6)),'Lançamento'!L16,0)</f>
        <v/>
      </c>
      <c r="Y16" s="43">
        <f>IF(AND(ISNUMBER('Lançamento'!M16),ROUND('Lançamento'!M16,6)&lt;ROUND('Lançamento'!$H$3,6),ROUND('Lançamento'!M16,6)&gt;=ROUND('Lançamento'!$K$3,6)),'Lançamento'!M16,0)</f>
        <v/>
      </c>
      <c r="Z16" s="43">
        <f>IF(AND(ISNUMBER('Lançamento'!B16),ROUND('Lançamento'!B16,6)&lt;ROUND('Lançamento'!$K$3,6)),'Lançamento'!B16,0)</f>
        <v/>
      </c>
      <c r="AA16" s="43">
        <f>IF(AND(ISNUMBER('Lançamento'!C16),ROUND('Lançamento'!C16,6)&lt;ROUND('Lançamento'!$K$3,6)),'Lançamento'!C16,0)</f>
        <v/>
      </c>
      <c r="AB16" s="43">
        <f>IF(AND(ISNUMBER('Lançamento'!D16),ROUND('Lançamento'!D16,6)&lt;ROUND('Lançamento'!$K$3,6)),'Lançamento'!D16,0)</f>
        <v/>
      </c>
      <c r="AC16" s="43">
        <f>IF(AND(ISNUMBER('Lançamento'!E16),ROUND('Lançamento'!E16,6)&lt;ROUND('Lançamento'!$K$3,6)),'Lançamento'!E16,0)</f>
        <v/>
      </c>
      <c r="AD16" s="43">
        <f>IF(AND(ISNUMBER('Lançamento'!F16),ROUND('Lançamento'!F16,6)&lt;ROUND('Lançamento'!$K$3,6)),'Lançamento'!F16,0)</f>
        <v/>
      </c>
      <c r="AE16" s="43">
        <f>IF(AND(ISNUMBER('Lançamento'!G16),ROUND('Lançamento'!G16,6)&lt;ROUND('Lançamento'!$K$3,6)),'Lançamento'!G16,0)</f>
        <v/>
      </c>
      <c r="AF16" s="43">
        <f>IF(AND(ISNUMBER('Lançamento'!H16),ROUND('Lançamento'!H16,6)&lt;ROUND('Lançamento'!$K$3,6)),'Lançamento'!H16,0)</f>
        <v/>
      </c>
      <c r="AG16" s="43">
        <f>IF(AND(ISNUMBER('Lançamento'!I16),ROUND('Lançamento'!I16,6)&lt;ROUND('Lançamento'!$K$3,6)),'Lançamento'!I16,0)</f>
        <v/>
      </c>
      <c r="AH16" s="43">
        <f>IF(AND(ISNUMBER('Lançamento'!J16),ROUND('Lançamento'!J16,6)&lt;ROUND('Lançamento'!$K$3,6)),'Lançamento'!J16,0)</f>
        <v/>
      </c>
      <c r="AI16" s="43">
        <f>IF(AND(ISNUMBER('Lançamento'!K16),ROUND('Lançamento'!K16,6)&lt;ROUND('Lançamento'!$K$3,6)),'Lançamento'!K16,0)</f>
        <v/>
      </c>
      <c r="AJ16" s="43">
        <f>IF(AND(ISNUMBER('Lançamento'!L16),ROUND('Lançamento'!L16,6)&lt;ROUND('Lançamento'!$K$3,6)),'Lançamento'!L16,0)</f>
        <v/>
      </c>
      <c r="AK16" s="43">
        <f>IF(AND(ISNUMBER('Lançamento'!M16),ROUND('Lançamento'!M16,6)&lt;ROUND('Lançamento'!$K$3,6)),'Lançamento'!M16,0)</f>
        <v/>
      </c>
      <c r="AL16" s="42">
        <f>IF(ISNUMBER('Lançamento'!$N16),'Lançamento'!$N16,0)</f>
        <v/>
      </c>
      <c r="AM16" s="42">
        <f>IF(ISNUMBER('Lançamento'!$N16),'Lançamento'!$N16,0)</f>
        <v/>
      </c>
      <c r="AN16" s="42">
        <f>IF(ISNUMBER('Lançamento'!$N16),'Lançamento'!$N16,0)</f>
        <v/>
      </c>
      <c r="AO16" s="42">
        <f>IF(ISNUMBER('Lançamento'!$N16),'Lançamento'!$N16,0)</f>
        <v/>
      </c>
      <c r="AP16" s="42">
        <f>IF(ISNUMBER('Lançamento'!$N16),'Lançamento'!$N16,0)</f>
        <v/>
      </c>
      <c r="AQ16" s="42">
        <f>IF(ISNUMBER('Lançamento'!$N16),'Lançamento'!$N16,0)</f>
        <v/>
      </c>
      <c r="AR16" s="42">
        <f>IF(ISNUMBER('Lançamento'!$N16),'Lançamento'!$N16,0)</f>
        <v/>
      </c>
      <c r="AS16" s="42">
        <f>IF(ISNUMBER('Lançamento'!$N16),'Lançamento'!$N16,0)</f>
        <v/>
      </c>
      <c r="AT16" s="42">
        <f>IF(ISNUMBER('Lançamento'!$N16),'Lançamento'!$N16,0)</f>
        <v/>
      </c>
      <c r="AU16" s="42">
        <f>IF(ISNUMBER('Lançamento'!$N16),'Lançamento'!$N16,0)</f>
        <v/>
      </c>
      <c r="AV16" s="42">
        <f>IF(ISNUMBER('Lançamento'!$N16),'Lançamento'!$N16,0)</f>
        <v/>
      </c>
      <c r="AW16" s="42">
        <f>IF(ISNUMBER('Lançamento'!$N16),'Lançamento'!$N16,0)</f>
        <v/>
      </c>
      <c r="AX16" s="42">
        <f>NA()</f>
        <v/>
      </c>
      <c r="AY16" s="42">
        <f>NA()</f>
        <v/>
      </c>
      <c r="AZ16" s="42">
        <f>IF(COUNT('Lançamento'!B16:'Lançamento'!D16)=3,AVERAGE('Lançamento'!B16:'Lançamento'!D16),NA())</f>
        <v/>
      </c>
      <c r="BA16" s="42">
        <f>IF(COUNT('Lançamento'!C16:'Lançamento'!E16)=3,AVERAGE('Lançamento'!C16:'Lançamento'!E16),NA())</f>
        <v/>
      </c>
      <c r="BB16" s="42">
        <f>IF(COUNT('Lançamento'!D16:'Lançamento'!F16)=3,AVERAGE('Lançamento'!D16:'Lançamento'!F16),NA())</f>
        <v/>
      </c>
      <c r="BC16" s="42">
        <f>IF(COUNT('Lançamento'!E16:'Lançamento'!G16)=3,AVERAGE('Lançamento'!E16:'Lançamento'!G16),NA())</f>
        <v/>
      </c>
      <c r="BD16" s="42">
        <f>IF(COUNT('Lançamento'!F16:'Lançamento'!H16)=3,AVERAGE('Lançamento'!F16:'Lançamento'!H16),NA())</f>
        <v/>
      </c>
      <c r="BE16" s="42">
        <f>IF(COUNT('Lançamento'!G16:'Lançamento'!I16)=3,AVERAGE('Lançamento'!G16:'Lançamento'!I16),NA())</f>
        <v/>
      </c>
      <c r="BF16" s="42">
        <f>IF(COUNT('Lançamento'!H16:'Lançamento'!J16)=3,AVERAGE('Lançamento'!H16:'Lançamento'!J16),NA())</f>
        <v/>
      </c>
      <c r="BG16" s="42">
        <f>IF(COUNT('Lançamento'!I16:'Lançamento'!K16)=3,AVERAGE('Lançamento'!I16:'Lançamento'!K16),NA())</f>
        <v/>
      </c>
      <c r="BH16" s="42">
        <f>IF(COUNT('Lançamento'!J16:'Lançamento'!L16)=3,AVERAGE('Lançamento'!J16:'Lançamento'!L16),NA())</f>
        <v/>
      </c>
      <c r="BI16" s="42">
        <f>IF(COUNT('Lançamento'!K16:'Lançamento'!M16)=3,AVERAGE('Lançamento'!K16:'Lançamento'!M16),NA())</f>
        <v/>
      </c>
      <c r="BJ16" s="42">
        <f>IF('Lançamento'!A16="","",'Lançamento'!A16&amp;"   |   Média YTD: "&amp;IF('Lançamento'!O16="","-",ROUND('Lançamento'!O16*100,1)&amp;"%"))</f>
        <v/>
      </c>
    </row>
    <row r="17">
      <c r="A17" s="42">
        <f>IF('Lançamento'!A17="","",'Lançamento'!A17)</f>
        <v/>
      </c>
      <c r="B17" s="43">
        <f>IF(AND(ISNUMBER('Lançamento'!B17),ROUND('Lançamento'!B17,6)&gt;=ROUND('Lançamento'!$H$3,6)),'Lançamento'!B17,0)</f>
        <v/>
      </c>
      <c r="C17" s="43">
        <f>IF(AND(ISNUMBER('Lançamento'!C17),ROUND('Lançamento'!C17,6)&gt;=ROUND('Lançamento'!$H$3,6)),'Lançamento'!C17,0)</f>
        <v/>
      </c>
      <c r="D17" s="43">
        <f>IF(AND(ISNUMBER('Lançamento'!D17),ROUND('Lançamento'!D17,6)&gt;=ROUND('Lançamento'!$H$3,6)),'Lançamento'!D17,0)</f>
        <v/>
      </c>
      <c r="E17" s="43">
        <f>IF(AND(ISNUMBER('Lançamento'!E17),ROUND('Lançamento'!E17,6)&gt;=ROUND('Lançamento'!$H$3,6)),'Lançamento'!E17,0)</f>
        <v/>
      </c>
      <c r="F17" s="43">
        <f>IF(AND(ISNUMBER('Lançamento'!F17),ROUND('Lançamento'!F17,6)&gt;=ROUND('Lançamento'!$H$3,6)),'Lançamento'!F17,0)</f>
        <v/>
      </c>
      <c r="G17" s="43">
        <f>IF(AND(ISNUMBER('Lançamento'!G17),ROUND('Lançamento'!G17,6)&gt;=ROUND('Lançamento'!$H$3,6)),'Lançamento'!G17,0)</f>
        <v/>
      </c>
      <c r="H17" s="43">
        <f>IF(AND(ISNUMBER('Lançamento'!H17),ROUND('Lançamento'!H17,6)&gt;=ROUND('Lançamento'!$H$3,6)),'Lançamento'!H17,0)</f>
        <v/>
      </c>
      <c r="I17" s="43">
        <f>IF(AND(ISNUMBER('Lançamento'!I17),ROUND('Lançamento'!I17,6)&gt;=ROUND('Lançamento'!$H$3,6)),'Lançamento'!I17,0)</f>
        <v/>
      </c>
      <c r="J17" s="43">
        <f>IF(AND(ISNUMBER('Lançamento'!J17),ROUND('Lançamento'!J17,6)&gt;=ROUND('Lançamento'!$H$3,6)),'Lançamento'!J17,0)</f>
        <v/>
      </c>
      <c r="K17" s="43">
        <f>IF(AND(ISNUMBER('Lançamento'!K17),ROUND('Lançamento'!K17,6)&gt;=ROUND('Lançamento'!$H$3,6)),'Lançamento'!K17,0)</f>
        <v/>
      </c>
      <c r="L17" s="43">
        <f>IF(AND(ISNUMBER('Lançamento'!L17),ROUND('Lançamento'!L17,6)&gt;=ROUND('Lançamento'!$H$3,6)),'Lançamento'!L17,0)</f>
        <v/>
      </c>
      <c r="M17" s="43">
        <f>IF(AND(ISNUMBER('Lançamento'!M17),ROUND('Lançamento'!M17,6)&gt;=ROUND('Lançamento'!$H$3,6)),'Lançamento'!M17,0)</f>
        <v/>
      </c>
      <c r="N17" s="43">
        <f>IF(AND(ISNUMBER('Lançamento'!B17),ROUND('Lançamento'!B17,6)&lt;ROUND('Lançamento'!$H$3,6),ROUND('Lançamento'!B17,6)&gt;=ROUND('Lançamento'!$K$3,6)),'Lançamento'!B17,0)</f>
        <v/>
      </c>
      <c r="O17" s="43">
        <f>IF(AND(ISNUMBER('Lançamento'!C17),ROUND('Lançamento'!C17,6)&lt;ROUND('Lançamento'!$H$3,6),ROUND('Lançamento'!C17,6)&gt;=ROUND('Lançamento'!$K$3,6)),'Lançamento'!C17,0)</f>
        <v/>
      </c>
      <c r="P17" s="43">
        <f>IF(AND(ISNUMBER('Lançamento'!D17),ROUND('Lançamento'!D17,6)&lt;ROUND('Lançamento'!$H$3,6),ROUND('Lançamento'!D17,6)&gt;=ROUND('Lançamento'!$K$3,6)),'Lançamento'!D17,0)</f>
        <v/>
      </c>
      <c r="Q17" s="43">
        <f>IF(AND(ISNUMBER('Lançamento'!E17),ROUND('Lançamento'!E17,6)&lt;ROUND('Lançamento'!$H$3,6),ROUND('Lançamento'!E17,6)&gt;=ROUND('Lançamento'!$K$3,6)),'Lançamento'!E17,0)</f>
        <v/>
      </c>
      <c r="R17" s="43">
        <f>IF(AND(ISNUMBER('Lançamento'!F17),ROUND('Lançamento'!F17,6)&lt;ROUND('Lançamento'!$H$3,6),ROUND('Lançamento'!F17,6)&gt;=ROUND('Lançamento'!$K$3,6)),'Lançamento'!F17,0)</f>
        <v/>
      </c>
      <c r="S17" s="43">
        <f>IF(AND(ISNUMBER('Lançamento'!G17),ROUND('Lançamento'!G17,6)&lt;ROUND('Lançamento'!$H$3,6),ROUND('Lançamento'!G17,6)&gt;=ROUND('Lançamento'!$K$3,6)),'Lançamento'!G17,0)</f>
        <v/>
      </c>
      <c r="T17" s="43">
        <f>IF(AND(ISNUMBER('Lançamento'!H17),ROUND('Lançamento'!H17,6)&lt;ROUND('Lançamento'!$H$3,6),ROUND('Lançamento'!H17,6)&gt;=ROUND('Lançamento'!$K$3,6)),'Lançamento'!H17,0)</f>
        <v/>
      </c>
      <c r="U17" s="43">
        <f>IF(AND(ISNUMBER('Lançamento'!I17),ROUND('Lançamento'!I17,6)&lt;ROUND('Lançamento'!$H$3,6),ROUND('Lançamento'!I17,6)&gt;=ROUND('Lançamento'!$K$3,6)),'Lançamento'!I17,0)</f>
        <v/>
      </c>
      <c r="V17" s="43">
        <f>IF(AND(ISNUMBER('Lançamento'!J17),ROUND('Lançamento'!J17,6)&lt;ROUND('Lançamento'!$H$3,6),ROUND('Lançamento'!J17,6)&gt;=ROUND('Lançamento'!$K$3,6)),'Lançamento'!J17,0)</f>
        <v/>
      </c>
      <c r="W17" s="43">
        <f>IF(AND(ISNUMBER('Lançamento'!K17),ROUND('Lançamento'!K17,6)&lt;ROUND('Lançamento'!$H$3,6),ROUND('Lançamento'!K17,6)&gt;=ROUND('Lançamento'!$K$3,6)),'Lançamento'!K17,0)</f>
        <v/>
      </c>
      <c r="X17" s="43">
        <f>IF(AND(ISNUMBER('Lançamento'!L17),ROUND('Lançamento'!L17,6)&lt;ROUND('Lançamento'!$H$3,6),ROUND('Lançamento'!L17,6)&gt;=ROUND('Lançamento'!$K$3,6)),'Lançamento'!L17,0)</f>
        <v/>
      </c>
      <c r="Y17" s="43">
        <f>IF(AND(ISNUMBER('Lançamento'!M17),ROUND('Lançamento'!M17,6)&lt;ROUND('Lançamento'!$H$3,6),ROUND('Lançamento'!M17,6)&gt;=ROUND('Lançamento'!$K$3,6)),'Lançamento'!M17,0)</f>
        <v/>
      </c>
      <c r="Z17" s="43">
        <f>IF(AND(ISNUMBER('Lançamento'!B17),ROUND('Lançamento'!B17,6)&lt;ROUND('Lançamento'!$K$3,6)),'Lançamento'!B17,0)</f>
        <v/>
      </c>
      <c r="AA17" s="43">
        <f>IF(AND(ISNUMBER('Lançamento'!C17),ROUND('Lançamento'!C17,6)&lt;ROUND('Lançamento'!$K$3,6)),'Lançamento'!C17,0)</f>
        <v/>
      </c>
      <c r="AB17" s="43">
        <f>IF(AND(ISNUMBER('Lançamento'!D17),ROUND('Lançamento'!D17,6)&lt;ROUND('Lançamento'!$K$3,6)),'Lançamento'!D17,0)</f>
        <v/>
      </c>
      <c r="AC17" s="43">
        <f>IF(AND(ISNUMBER('Lançamento'!E17),ROUND('Lançamento'!E17,6)&lt;ROUND('Lançamento'!$K$3,6)),'Lançamento'!E17,0)</f>
        <v/>
      </c>
      <c r="AD17" s="43">
        <f>IF(AND(ISNUMBER('Lançamento'!F17),ROUND('Lançamento'!F17,6)&lt;ROUND('Lançamento'!$K$3,6)),'Lançamento'!F17,0)</f>
        <v/>
      </c>
      <c r="AE17" s="43">
        <f>IF(AND(ISNUMBER('Lançamento'!G17),ROUND('Lançamento'!G17,6)&lt;ROUND('Lançamento'!$K$3,6)),'Lançamento'!G17,0)</f>
        <v/>
      </c>
      <c r="AF17" s="43">
        <f>IF(AND(ISNUMBER('Lançamento'!H17),ROUND('Lançamento'!H17,6)&lt;ROUND('Lançamento'!$K$3,6)),'Lançamento'!H17,0)</f>
        <v/>
      </c>
      <c r="AG17" s="43">
        <f>IF(AND(ISNUMBER('Lançamento'!I17),ROUND('Lançamento'!I17,6)&lt;ROUND('Lançamento'!$K$3,6)),'Lançamento'!I17,0)</f>
        <v/>
      </c>
      <c r="AH17" s="43">
        <f>IF(AND(ISNUMBER('Lançamento'!J17),ROUND('Lançamento'!J17,6)&lt;ROUND('Lançamento'!$K$3,6)),'Lançamento'!J17,0)</f>
        <v/>
      </c>
      <c r="AI17" s="43">
        <f>IF(AND(ISNUMBER('Lançamento'!K17),ROUND('Lançamento'!K17,6)&lt;ROUND('Lançamento'!$K$3,6)),'Lançamento'!K17,0)</f>
        <v/>
      </c>
      <c r="AJ17" s="43">
        <f>IF(AND(ISNUMBER('Lançamento'!L17),ROUND('Lançamento'!L17,6)&lt;ROUND('Lançamento'!$K$3,6)),'Lançamento'!L17,0)</f>
        <v/>
      </c>
      <c r="AK17" s="43">
        <f>IF(AND(ISNUMBER('Lançamento'!M17),ROUND('Lançamento'!M17,6)&lt;ROUND('Lançamento'!$K$3,6)),'Lançamento'!M17,0)</f>
        <v/>
      </c>
      <c r="AL17" s="42">
        <f>IF(ISNUMBER('Lançamento'!$N17),'Lançamento'!$N17,0)</f>
        <v/>
      </c>
      <c r="AM17" s="42">
        <f>IF(ISNUMBER('Lançamento'!$N17),'Lançamento'!$N17,0)</f>
        <v/>
      </c>
      <c r="AN17" s="42">
        <f>IF(ISNUMBER('Lançamento'!$N17),'Lançamento'!$N17,0)</f>
        <v/>
      </c>
      <c r="AO17" s="42">
        <f>IF(ISNUMBER('Lançamento'!$N17),'Lançamento'!$N17,0)</f>
        <v/>
      </c>
      <c r="AP17" s="42">
        <f>IF(ISNUMBER('Lançamento'!$N17),'Lançamento'!$N17,0)</f>
        <v/>
      </c>
      <c r="AQ17" s="42">
        <f>IF(ISNUMBER('Lançamento'!$N17),'Lançamento'!$N17,0)</f>
        <v/>
      </c>
      <c r="AR17" s="42">
        <f>IF(ISNUMBER('Lançamento'!$N17),'Lançamento'!$N17,0)</f>
        <v/>
      </c>
      <c r="AS17" s="42">
        <f>IF(ISNUMBER('Lançamento'!$N17),'Lançamento'!$N17,0)</f>
        <v/>
      </c>
      <c r="AT17" s="42">
        <f>IF(ISNUMBER('Lançamento'!$N17),'Lançamento'!$N17,0)</f>
        <v/>
      </c>
      <c r="AU17" s="42">
        <f>IF(ISNUMBER('Lançamento'!$N17),'Lançamento'!$N17,0)</f>
        <v/>
      </c>
      <c r="AV17" s="42">
        <f>IF(ISNUMBER('Lançamento'!$N17),'Lançamento'!$N17,0)</f>
        <v/>
      </c>
      <c r="AW17" s="42">
        <f>IF(ISNUMBER('Lançamento'!$N17),'Lançamento'!$N17,0)</f>
        <v/>
      </c>
      <c r="AX17" s="42">
        <f>NA()</f>
        <v/>
      </c>
      <c r="AY17" s="42">
        <f>NA()</f>
        <v/>
      </c>
      <c r="AZ17" s="42">
        <f>IF(COUNT('Lançamento'!B17:'Lançamento'!D17)=3,AVERAGE('Lançamento'!B17:'Lançamento'!D17),NA())</f>
        <v/>
      </c>
      <c r="BA17" s="42">
        <f>IF(COUNT('Lançamento'!C17:'Lançamento'!E17)=3,AVERAGE('Lançamento'!C17:'Lançamento'!E17),NA())</f>
        <v/>
      </c>
      <c r="BB17" s="42">
        <f>IF(COUNT('Lançamento'!D17:'Lançamento'!F17)=3,AVERAGE('Lançamento'!D17:'Lançamento'!F17),NA())</f>
        <v/>
      </c>
      <c r="BC17" s="42">
        <f>IF(COUNT('Lançamento'!E17:'Lançamento'!G17)=3,AVERAGE('Lançamento'!E17:'Lançamento'!G17),NA())</f>
        <v/>
      </c>
      <c r="BD17" s="42">
        <f>IF(COUNT('Lançamento'!F17:'Lançamento'!H17)=3,AVERAGE('Lançamento'!F17:'Lançamento'!H17),NA())</f>
        <v/>
      </c>
      <c r="BE17" s="42">
        <f>IF(COUNT('Lançamento'!G17:'Lançamento'!I17)=3,AVERAGE('Lançamento'!G17:'Lançamento'!I17),NA())</f>
        <v/>
      </c>
      <c r="BF17" s="42">
        <f>IF(COUNT('Lançamento'!H17:'Lançamento'!J17)=3,AVERAGE('Lançamento'!H17:'Lançamento'!J17),NA())</f>
        <v/>
      </c>
      <c r="BG17" s="42">
        <f>IF(COUNT('Lançamento'!I17:'Lançamento'!K17)=3,AVERAGE('Lançamento'!I17:'Lançamento'!K17),NA())</f>
        <v/>
      </c>
      <c r="BH17" s="42">
        <f>IF(COUNT('Lançamento'!J17:'Lançamento'!L17)=3,AVERAGE('Lançamento'!J17:'Lançamento'!L17),NA())</f>
        <v/>
      </c>
      <c r="BI17" s="42">
        <f>IF(COUNT('Lançamento'!K17:'Lançamento'!M17)=3,AVERAGE('Lançamento'!K17:'Lançamento'!M17),NA())</f>
        <v/>
      </c>
      <c r="BJ17" s="42">
        <f>IF('Lançamento'!A17="","",'Lançamento'!A17&amp;"   |   Média YTD: "&amp;IF('Lançamento'!O17="","-",ROUND('Lançamento'!O17*100,1)&amp;"%"))</f>
        <v/>
      </c>
    </row>
    <row r="18">
      <c r="A18" s="42">
        <f>IF('Lançamento'!A18="","",'Lançamento'!A18)</f>
        <v/>
      </c>
      <c r="B18" s="43">
        <f>IF(AND(ISNUMBER('Lançamento'!B18),ROUND('Lançamento'!B18,6)&gt;=ROUND('Lançamento'!$H$3,6)),'Lançamento'!B18,0)</f>
        <v/>
      </c>
      <c r="C18" s="43">
        <f>IF(AND(ISNUMBER('Lançamento'!C18),ROUND('Lançamento'!C18,6)&gt;=ROUND('Lançamento'!$H$3,6)),'Lançamento'!C18,0)</f>
        <v/>
      </c>
      <c r="D18" s="43">
        <f>IF(AND(ISNUMBER('Lançamento'!D18),ROUND('Lançamento'!D18,6)&gt;=ROUND('Lançamento'!$H$3,6)),'Lançamento'!D18,0)</f>
        <v/>
      </c>
      <c r="E18" s="43">
        <f>IF(AND(ISNUMBER('Lançamento'!E18),ROUND('Lançamento'!E18,6)&gt;=ROUND('Lançamento'!$H$3,6)),'Lançamento'!E18,0)</f>
        <v/>
      </c>
      <c r="F18" s="43">
        <f>IF(AND(ISNUMBER('Lançamento'!F18),ROUND('Lançamento'!F18,6)&gt;=ROUND('Lançamento'!$H$3,6)),'Lançamento'!F18,0)</f>
        <v/>
      </c>
      <c r="G18" s="43">
        <f>IF(AND(ISNUMBER('Lançamento'!G18),ROUND('Lançamento'!G18,6)&gt;=ROUND('Lançamento'!$H$3,6)),'Lançamento'!G18,0)</f>
        <v/>
      </c>
      <c r="H18" s="43">
        <f>IF(AND(ISNUMBER('Lançamento'!H18),ROUND('Lançamento'!H18,6)&gt;=ROUND('Lançamento'!$H$3,6)),'Lançamento'!H18,0)</f>
        <v/>
      </c>
      <c r="I18" s="43">
        <f>IF(AND(ISNUMBER('Lançamento'!I18),ROUND('Lançamento'!I18,6)&gt;=ROUND('Lançamento'!$H$3,6)),'Lançamento'!I18,0)</f>
        <v/>
      </c>
      <c r="J18" s="43">
        <f>IF(AND(ISNUMBER('Lançamento'!J18),ROUND('Lançamento'!J18,6)&gt;=ROUND('Lançamento'!$H$3,6)),'Lançamento'!J18,0)</f>
        <v/>
      </c>
      <c r="K18" s="43">
        <f>IF(AND(ISNUMBER('Lançamento'!K18),ROUND('Lançamento'!K18,6)&gt;=ROUND('Lançamento'!$H$3,6)),'Lançamento'!K18,0)</f>
        <v/>
      </c>
      <c r="L18" s="43">
        <f>IF(AND(ISNUMBER('Lançamento'!L18),ROUND('Lançamento'!L18,6)&gt;=ROUND('Lançamento'!$H$3,6)),'Lançamento'!L18,0)</f>
        <v/>
      </c>
      <c r="M18" s="43">
        <f>IF(AND(ISNUMBER('Lançamento'!M18),ROUND('Lançamento'!M18,6)&gt;=ROUND('Lançamento'!$H$3,6)),'Lançamento'!M18,0)</f>
        <v/>
      </c>
      <c r="N18" s="43">
        <f>IF(AND(ISNUMBER('Lançamento'!B18),ROUND('Lançamento'!B18,6)&lt;ROUND('Lançamento'!$H$3,6),ROUND('Lançamento'!B18,6)&gt;=ROUND('Lançamento'!$K$3,6)),'Lançamento'!B18,0)</f>
        <v/>
      </c>
      <c r="O18" s="43">
        <f>IF(AND(ISNUMBER('Lançamento'!C18),ROUND('Lançamento'!C18,6)&lt;ROUND('Lançamento'!$H$3,6),ROUND('Lançamento'!C18,6)&gt;=ROUND('Lançamento'!$K$3,6)),'Lançamento'!C18,0)</f>
        <v/>
      </c>
      <c r="P18" s="43">
        <f>IF(AND(ISNUMBER('Lançamento'!D18),ROUND('Lançamento'!D18,6)&lt;ROUND('Lançamento'!$H$3,6),ROUND('Lançamento'!D18,6)&gt;=ROUND('Lançamento'!$K$3,6)),'Lançamento'!D18,0)</f>
        <v/>
      </c>
      <c r="Q18" s="43">
        <f>IF(AND(ISNUMBER('Lançamento'!E18),ROUND('Lançamento'!E18,6)&lt;ROUND('Lançamento'!$H$3,6),ROUND('Lançamento'!E18,6)&gt;=ROUND('Lançamento'!$K$3,6)),'Lançamento'!E18,0)</f>
        <v/>
      </c>
      <c r="R18" s="43">
        <f>IF(AND(ISNUMBER('Lançamento'!F18),ROUND('Lançamento'!F18,6)&lt;ROUND('Lançamento'!$H$3,6),ROUND('Lançamento'!F18,6)&gt;=ROUND('Lançamento'!$K$3,6)),'Lançamento'!F18,0)</f>
        <v/>
      </c>
      <c r="S18" s="43">
        <f>IF(AND(ISNUMBER('Lançamento'!G18),ROUND('Lançamento'!G18,6)&lt;ROUND('Lançamento'!$H$3,6),ROUND('Lançamento'!G18,6)&gt;=ROUND('Lançamento'!$K$3,6)),'Lançamento'!G18,0)</f>
        <v/>
      </c>
      <c r="T18" s="43">
        <f>IF(AND(ISNUMBER('Lançamento'!H18),ROUND('Lançamento'!H18,6)&lt;ROUND('Lançamento'!$H$3,6),ROUND('Lançamento'!H18,6)&gt;=ROUND('Lançamento'!$K$3,6)),'Lançamento'!H18,0)</f>
        <v/>
      </c>
      <c r="U18" s="43">
        <f>IF(AND(ISNUMBER('Lançamento'!I18),ROUND('Lançamento'!I18,6)&lt;ROUND('Lançamento'!$H$3,6),ROUND('Lançamento'!I18,6)&gt;=ROUND('Lançamento'!$K$3,6)),'Lançamento'!I18,0)</f>
        <v/>
      </c>
      <c r="V18" s="43">
        <f>IF(AND(ISNUMBER('Lançamento'!J18),ROUND('Lançamento'!J18,6)&lt;ROUND('Lançamento'!$H$3,6),ROUND('Lançamento'!J18,6)&gt;=ROUND('Lançamento'!$K$3,6)),'Lançamento'!J18,0)</f>
        <v/>
      </c>
      <c r="W18" s="43">
        <f>IF(AND(ISNUMBER('Lançamento'!K18),ROUND('Lançamento'!K18,6)&lt;ROUND('Lançamento'!$H$3,6),ROUND('Lançamento'!K18,6)&gt;=ROUND('Lançamento'!$K$3,6)),'Lançamento'!K18,0)</f>
        <v/>
      </c>
      <c r="X18" s="43">
        <f>IF(AND(ISNUMBER('Lançamento'!L18),ROUND('Lançamento'!L18,6)&lt;ROUND('Lançamento'!$H$3,6),ROUND('Lançamento'!L18,6)&gt;=ROUND('Lançamento'!$K$3,6)),'Lançamento'!L18,0)</f>
        <v/>
      </c>
      <c r="Y18" s="43">
        <f>IF(AND(ISNUMBER('Lançamento'!M18),ROUND('Lançamento'!M18,6)&lt;ROUND('Lançamento'!$H$3,6),ROUND('Lançamento'!M18,6)&gt;=ROUND('Lançamento'!$K$3,6)),'Lançamento'!M18,0)</f>
        <v/>
      </c>
      <c r="Z18" s="43">
        <f>IF(AND(ISNUMBER('Lançamento'!B18),ROUND('Lançamento'!B18,6)&lt;ROUND('Lançamento'!$K$3,6)),'Lançamento'!B18,0)</f>
        <v/>
      </c>
      <c r="AA18" s="43">
        <f>IF(AND(ISNUMBER('Lançamento'!C18),ROUND('Lançamento'!C18,6)&lt;ROUND('Lançamento'!$K$3,6)),'Lançamento'!C18,0)</f>
        <v/>
      </c>
      <c r="AB18" s="43">
        <f>IF(AND(ISNUMBER('Lançamento'!D18),ROUND('Lançamento'!D18,6)&lt;ROUND('Lançamento'!$K$3,6)),'Lançamento'!D18,0)</f>
        <v/>
      </c>
      <c r="AC18" s="43">
        <f>IF(AND(ISNUMBER('Lançamento'!E18),ROUND('Lançamento'!E18,6)&lt;ROUND('Lançamento'!$K$3,6)),'Lançamento'!E18,0)</f>
        <v/>
      </c>
      <c r="AD18" s="43">
        <f>IF(AND(ISNUMBER('Lançamento'!F18),ROUND('Lançamento'!F18,6)&lt;ROUND('Lançamento'!$K$3,6)),'Lançamento'!F18,0)</f>
        <v/>
      </c>
      <c r="AE18" s="43">
        <f>IF(AND(ISNUMBER('Lançamento'!G18),ROUND('Lançamento'!G18,6)&lt;ROUND('Lançamento'!$K$3,6)),'Lançamento'!G18,0)</f>
        <v/>
      </c>
      <c r="AF18" s="43">
        <f>IF(AND(ISNUMBER('Lançamento'!H18),ROUND('Lançamento'!H18,6)&lt;ROUND('Lançamento'!$K$3,6)),'Lançamento'!H18,0)</f>
        <v/>
      </c>
      <c r="AG18" s="43">
        <f>IF(AND(ISNUMBER('Lançamento'!I18),ROUND('Lançamento'!I18,6)&lt;ROUND('Lançamento'!$K$3,6)),'Lançamento'!I18,0)</f>
        <v/>
      </c>
      <c r="AH18" s="43">
        <f>IF(AND(ISNUMBER('Lançamento'!J18),ROUND('Lançamento'!J18,6)&lt;ROUND('Lançamento'!$K$3,6)),'Lançamento'!J18,0)</f>
        <v/>
      </c>
      <c r="AI18" s="43">
        <f>IF(AND(ISNUMBER('Lançamento'!K18),ROUND('Lançamento'!K18,6)&lt;ROUND('Lançamento'!$K$3,6)),'Lançamento'!K18,0)</f>
        <v/>
      </c>
      <c r="AJ18" s="43">
        <f>IF(AND(ISNUMBER('Lançamento'!L18),ROUND('Lançamento'!L18,6)&lt;ROUND('Lançamento'!$K$3,6)),'Lançamento'!L18,0)</f>
        <v/>
      </c>
      <c r="AK18" s="43">
        <f>IF(AND(ISNUMBER('Lançamento'!M18),ROUND('Lançamento'!M18,6)&lt;ROUND('Lançamento'!$K$3,6)),'Lançamento'!M18,0)</f>
        <v/>
      </c>
      <c r="AL18" s="42">
        <f>IF(ISNUMBER('Lançamento'!$N18),'Lançamento'!$N18,0)</f>
        <v/>
      </c>
      <c r="AM18" s="42">
        <f>IF(ISNUMBER('Lançamento'!$N18),'Lançamento'!$N18,0)</f>
        <v/>
      </c>
      <c r="AN18" s="42">
        <f>IF(ISNUMBER('Lançamento'!$N18),'Lançamento'!$N18,0)</f>
        <v/>
      </c>
      <c r="AO18" s="42">
        <f>IF(ISNUMBER('Lançamento'!$N18),'Lançamento'!$N18,0)</f>
        <v/>
      </c>
      <c r="AP18" s="42">
        <f>IF(ISNUMBER('Lançamento'!$N18),'Lançamento'!$N18,0)</f>
        <v/>
      </c>
      <c r="AQ18" s="42">
        <f>IF(ISNUMBER('Lançamento'!$N18),'Lançamento'!$N18,0)</f>
        <v/>
      </c>
      <c r="AR18" s="42">
        <f>IF(ISNUMBER('Lançamento'!$N18),'Lançamento'!$N18,0)</f>
        <v/>
      </c>
      <c r="AS18" s="42">
        <f>IF(ISNUMBER('Lançamento'!$N18),'Lançamento'!$N18,0)</f>
        <v/>
      </c>
      <c r="AT18" s="42">
        <f>IF(ISNUMBER('Lançamento'!$N18),'Lançamento'!$N18,0)</f>
        <v/>
      </c>
      <c r="AU18" s="42">
        <f>IF(ISNUMBER('Lançamento'!$N18),'Lançamento'!$N18,0)</f>
        <v/>
      </c>
      <c r="AV18" s="42">
        <f>IF(ISNUMBER('Lançamento'!$N18),'Lançamento'!$N18,0)</f>
        <v/>
      </c>
      <c r="AW18" s="42">
        <f>IF(ISNUMBER('Lançamento'!$N18),'Lançamento'!$N18,0)</f>
        <v/>
      </c>
      <c r="AX18" s="42">
        <f>NA()</f>
        <v/>
      </c>
      <c r="AY18" s="42">
        <f>NA()</f>
        <v/>
      </c>
      <c r="AZ18" s="42">
        <f>IF(COUNT('Lançamento'!B18:'Lançamento'!D18)=3,AVERAGE('Lançamento'!B18:'Lançamento'!D18),NA())</f>
        <v/>
      </c>
      <c r="BA18" s="42">
        <f>IF(COUNT('Lançamento'!C18:'Lançamento'!E18)=3,AVERAGE('Lançamento'!C18:'Lançamento'!E18),NA())</f>
        <v/>
      </c>
      <c r="BB18" s="42">
        <f>IF(COUNT('Lançamento'!D18:'Lançamento'!F18)=3,AVERAGE('Lançamento'!D18:'Lançamento'!F18),NA())</f>
        <v/>
      </c>
      <c r="BC18" s="42">
        <f>IF(COUNT('Lançamento'!E18:'Lançamento'!G18)=3,AVERAGE('Lançamento'!E18:'Lançamento'!G18),NA())</f>
        <v/>
      </c>
      <c r="BD18" s="42">
        <f>IF(COUNT('Lançamento'!F18:'Lançamento'!H18)=3,AVERAGE('Lançamento'!F18:'Lançamento'!H18),NA())</f>
        <v/>
      </c>
      <c r="BE18" s="42">
        <f>IF(COUNT('Lançamento'!G18:'Lançamento'!I18)=3,AVERAGE('Lançamento'!G18:'Lançamento'!I18),NA())</f>
        <v/>
      </c>
      <c r="BF18" s="42">
        <f>IF(COUNT('Lançamento'!H18:'Lançamento'!J18)=3,AVERAGE('Lançamento'!H18:'Lançamento'!J18),NA())</f>
        <v/>
      </c>
      <c r="BG18" s="42">
        <f>IF(COUNT('Lançamento'!I18:'Lançamento'!K18)=3,AVERAGE('Lançamento'!I18:'Lançamento'!K18),NA())</f>
        <v/>
      </c>
      <c r="BH18" s="42">
        <f>IF(COUNT('Lançamento'!J18:'Lançamento'!L18)=3,AVERAGE('Lançamento'!J18:'Lançamento'!L18),NA())</f>
        <v/>
      </c>
      <c r="BI18" s="42">
        <f>IF(COUNT('Lançamento'!K18:'Lançamento'!M18)=3,AVERAGE('Lançamento'!K18:'Lançamento'!M18),NA())</f>
        <v/>
      </c>
      <c r="BJ18" s="42">
        <f>IF('Lançamento'!A18="","",'Lançamento'!A18&amp;"   |   Média YTD: "&amp;IF('Lançamento'!O18="","-",ROUND('Lançamento'!O18*100,1)&amp;"%"))</f>
        <v/>
      </c>
    </row>
    <row r="19">
      <c r="A19" s="42">
        <f>IF('Lançamento'!A19="","",'Lançamento'!A19)</f>
        <v/>
      </c>
      <c r="B19" s="43">
        <f>IF(AND(ISNUMBER('Lançamento'!B19),ROUND('Lançamento'!B19,6)&gt;=ROUND('Lançamento'!$H$3,6)),'Lançamento'!B19,0)</f>
        <v/>
      </c>
      <c r="C19" s="43">
        <f>IF(AND(ISNUMBER('Lançamento'!C19),ROUND('Lançamento'!C19,6)&gt;=ROUND('Lançamento'!$H$3,6)),'Lançamento'!C19,0)</f>
        <v/>
      </c>
      <c r="D19" s="43">
        <f>IF(AND(ISNUMBER('Lançamento'!D19),ROUND('Lançamento'!D19,6)&gt;=ROUND('Lançamento'!$H$3,6)),'Lançamento'!D19,0)</f>
        <v/>
      </c>
      <c r="E19" s="43">
        <f>IF(AND(ISNUMBER('Lançamento'!E19),ROUND('Lançamento'!E19,6)&gt;=ROUND('Lançamento'!$H$3,6)),'Lançamento'!E19,0)</f>
        <v/>
      </c>
      <c r="F19" s="43">
        <f>IF(AND(ISNUMBER('Lançamento'!F19),ROUND('Lançamento'!F19,6)&gt;=ROUND('Lançamento'!$H$3,6)),'Lançamento'!F19,0)</f>
        <v/>
      </c>
      <c r="G19" s="43">
        <f>IF(AND(ISNUMBER('Lançamento'!G19),ROUND('Lançamento'!G19,6)&gt;=ROUND('Lançamento'!$H$3,6)),'Lançamento'!G19,0)</f>
        <v/>
      </c>
      <c r="H19" s="43">
        <f>IF(AND(ISNUMBER('Lançamento'!H19),ROUND('Lançamento'!H19,6)&gt;=ROUND('Lançamento'!$H$3,6)),'Lançamento'!H19,0)</f>
        <v/>
      </c>
      <c r="I19" s="43">
        <f>IF(AND(ISNUMBER('Lançamento'!I19),ROUND('Lançamento'!I19,6)&gt;=ROUND('Lançamento'!$H$3,6)),'Lançamento'!I19,0)</f>
        <v/>
      </c>
      <c r="J19" s="43">
        <f>IF(AND(ISNUMBER('Lançamento'!J19),ROUND('Lançamento'!J19,6)&gt;=ROUND('Lançamento'!$H$3,6)),'Lançamento'!J19,0)</f>
        <v/>
      </c>
      <c r="K19" s="43">
        <f>IF(AND(ISNUMBER('Lançamento'!K19),ROUND('Lançamento'!K19,6)&gt;=ROUND('Lançamento'!$H$3,6)),'Lançamento'!K19,0)</f>
        <v/>
      </c>
      <c r="L19" s="43">
        <f>IF(AND(ISNUMBER('Lançamento'!L19),ROUND('Lançamento'!L19,6)&gt;=ROUND('Lançamento'!$H$3,6)),'Lançamento'!L19,0)</f>
        <v/>
      </c>
      <c r="M19" s="43">
        <f>IF(AND(ISNUMBER('Lançamento'!M19),ROUND('Lançamento'!M19,6)&gt;=ROUND('Lançamento'!$H$3,6)),'Lançamento'!M19,0)</f>
        <v/>
      </c>
      <c r="N19" s="43">
        <f>IF(AND(ISNUMBER('Lançamento'!B19),ROUND('Lançamento'!B19,6)&lt;ROUND('Lançamento'!$H$3,6),ROUND('Lançamento'!B19,6)&gt;=ROUND('Lançamento'!$K$3,6)),'Lançamento'!B19,0)</f>
        <v/>
      </c>
      <c r="O19" s="43">
        <f>IF(AND(ISNUMBER('Lançamento'!C19),ROUND('Lançamento'!C19,6)&lt;ROUND('Lançamento'!$H$3,6),ROUND('Lançamento'!C19,6)&gt;=ROUND('Lançamento'!$K$3,6)),'Lançamento'!C19,0)</f>
        <v/>
      </c>
      <c r="P19" s="43">
        <f>IF(AND(ISNUMBER('Lançamento'!D19),ROUND('Lançamento'!D19,6)&lt;ROUND('Lançamento'!$H$3,6),ROUND('Lançamento'!D19,6)&gt;=ROUND('Lançamento'!$K$3,6)),'Lançamento'!D19,0)</f>
        <v/>
      </c>
      <c r="Q19" s="43">
        <f>IF(AND(ISNUMBER('Lançamento'!E19),ROUND('Lançamento'!E19,6)&lt;ROUND('Lançamento'!$H$3,6),ROUND('Lançamento'!E19,6)&gt;=ROUND('Lançamento'!$K$3,6)),'Lançamento'!E19,0)</f>
        <v/>
      </c>
      <c r="R19" s="43">
        <f>IF(AND(ISNUMBER('Lançamento'!F19),ROUND('Lançamento'!F19,6)&lt;ROUND('Lançamento'!$H$3,6),ROUND('Lançamento'!F19,6)&gt;=ROUND('Lançamento'!$K$3,6)),'Lançamento'!F19,0)</f>
        <v/>
      </c>
      <c r="S19" s="43">
        <f>IF(AND(ISNUMBER('Lançamento'!G19),ROUND('Lançamento'!G19,6)&lt;ROUND('Lançamento'!$H$3,6),ROUND('Lançamento'!G19,6)&gt;=ROUND('Lançamento'!$K$3,6)),'Lançamento'!G19,0)</f>
        <v/>
      </c>
      <c r="T19" s="43">
        <f>IF(AND(ISNUMBER('Lançamento'!H19),ROUND('Lançamento'!H19,6)&lt;ROUND('Lançamento'!$H$3,6),ROUND('Lançamento'!H19,6)&gt;=ROUND('Lançamento'!$K$3,6)),'Lançamento'!H19,0)</f>
        <v/>
      </c>
      <c r="U19" s="43">
        <f>IF(AND(ISNUMBER('Lançamento'!I19),ROUND('Lançamento'!I19,6)&lt;ROUND('Lançamento'!$H$3,6),ROUND('Lançamento'!I19,6)&gt;=ROUND('Lançamento'!$K$3,6)),'Lançamento'!I19,0)</f>
        <v/>
      </c>
      <c r="V19" s="43">
        <f>IF(AND(ISNUMBER('Lançamento'!J19),ROUND('Lançamento'!J19,6)&lt;ROUND('Lançamento'!$H$3,6),ROUND('Lançamento'!J19,6)&gt;=ROUND('Lançamento'!$K$3,6)),'Lançamento'!J19,0)</f>
        <v/>
      </c>
      <c r="W19" s="43">
        <f>IF(AND(ISNUMBER('Lançamento'!K19),ROUND('Lançamento'!K19,6)&lt;ROUND('Lançamento'!$H$3,6),ROUND('Lançamento'!K19,6)&gt;=ROUND('Lançamento'!$K$3,6)),'Lançamento'!K19,0)</f>
        <v/>
      </c>
      <c r="X19" s="43">
        <f>IF(AND(ISNUMBER('Lançamento'!L19),ROUND('Lançamento'!L19,6)&lt;ROUND('Lançamento'!$H$3,6),ROUND('Lançamento'!L19,6)&gt;=ROUND('Lançamento'!$K$3,6)),'Lançamento'!L19,0)</f>
        <v/>
      </c>
      <c r="Y19" s="43">
        <f>IF(AND(ISNUMBER('Lançamento'!M19),ROUND('Lançamento'!M19,6)&lt;ROUND('Lançamento'!$H$3,6),ROUND('Lançamento'!M19,6)&gt;=ROUND('Lançamento'!$K$3,6)),'Lançamento'!M19,0)</f>
        <v/>
      </c>
      <c r="Z19" s="43">
        <f>IF(AND(ISNUMBER('Lançamento'!B19),ROUND('Lançamento'!B19,6)&lt;ROUND('Lançamento'!$K$3,6)),'Lançamento'!B19,0)</f>
        <v/>
      </c>
      <c r="AA19" s="43">
        <f>IF(AND(ISNUMBER('Lançamento'!C19),ROUND('Lançamento'!C19,6)&lt;ROUND('Lançamento'!$K$3,6)),'Lançamento'!C19,0)</f>
        <v/>
      </c>
      <c r="AB19" s="43">
        <f>IF(AND(ISNUMBER('Lançamento'!D19),ROUND('Lançamento'!D19,6)&lt;ROUND('Lançamento'!$K$3,6)),'Lançamento'!D19,0)</f>
        <v/>
      </c>
      <c r="AC19" s="43">
        <f>IF(AND(ISNUMBER('Lançamento'!E19),ROUND('Lançamento'!E19,6)&lt;ROUND('Lançamento'!$K$3,6)),'Lançamento'!E19,0)</f>
        <v/>
      </c>
      <c r="AD19" s="43">
        <f>IF(AND(ISNUMBER('Lançamento'!F19),ROUND('Lançamento'!F19,6)&lt;ROUND('Lançamento'!$K$3,6)),'Lançamento'!F19,0)</f>
        <v/>
      </c>
      <c r="AE19" s="43">
        <f>IF(AND(ISNUMBER('Lançamento'!G19),ROUND('Lançamento'!G19,6)&lt;ROUND('Lançamento'!$K$3,6)),'Lançamento'!G19,0)</f>
        <v/>
      </c>
      <c r="AF19" s="43">
        <f>IF(AND(ISNUMBER('Lançamento'!H19),ROUND('Lançamento'!H19,6)&lt;ROUND('Lançamento'!$K$3,6)),'Lançamento'!H19,0)</f>
        <v/>
      </c>
      <c r="AG19" s="43">
        <f>IF(AND(ISNUMBER('Lançamento'!I19),ROUND('Lançamento'!I19,6)&lt;ROUND('Lançamento'!$K$3,6)),'Lançamento'!I19,0)</f>
        <v/>
      </c>
      <c r="AH19" s="43">
        <f>IF(AND(ISNUMBER('Lançamento'!J19),ROUND('Lançamento'!J19,6)&lt;ROUND('Lançamento'!$K$3,6)),'Lançamento'!J19,0)</f>
        <v/>
      </c>
      <c r="AI19" s="43">
        <f>IF(AND(ISNUMBER('Lançamento'!K19),ROUND('Lançamento'!K19,6)&lt;ROUND('Lançamento'!$K$3,6)),'Lançamento'!K19,0)</f>
        <v/>
      </c>
      <c r="AJ19" s="43">
        <f>IF(AND(ISNUMBER('Lançamento'!L19),ROUND('Lançamento'!L19,6)&lt;ROUND('Lançamento'!$K$3,6)),'Lançamento'!L19,0)</f>
        <v/>
      </c>
      <c r="AK19" s="43">
        <f>IF(AND(ISNUMBER('Lançamento'!M19),ROUND('Lançamento'!M19,6)&lt;ROUND('Lançamento'!$K$3,6)),'Lançamento'!M19,0)</f>
        <v/>
      </c>
      <c r="AL19" s="42">
        <f>IF(ISNUMBER('Lançamento'!$N19),'Lançamento'!$N19,0)</f>
        <v/>
      </c>
      <c r="AM19" s="42">
        <f>IF(ISNUMBER('Lançamento'!$N19),'Lançamento'!$N19,0)</f>
        <v/>
      </c>
      <c r="AN19" s="42">
        <f>IF(ISNUMBER('Lançamento'!$N19),'Lançamento'!$N19,0)</f>
        <v/>
      </c>
      <c r="AO19" s="42">
        <f>IF(ISNUMBER('Lançamento'!$N19),'Lançamento'!$N19,0)</f>
        <v/>
      </c>
      <c r="AP19" s="42">
        <f>IF(ISNUMBER('Lançamento'!$N19),'Lançamento'!$N19,0)</f>
        <v/>
      </c>
      <c r="AQ19" s="42">
        <f>IF(ISNUMBER('Lançamento'!$N19),'Lançamento'!$N19,0)</f>
        <v/>
      </c>
      <c r="AR19" s="42">
        <f>IF(ISNUMBER('Lançamento'!$N19),'Lançamento'!$N19,0)</f>
        <v/>
      </c>
      <c r="AS19" s="42">
        <f>IF(ISNUMBER('Lançamento'!$N19),'Lançamento'!$N19,0)</f>
        <v/>
      </c>
      <c r="AT19" s="42">
        <f>IF(ISNUMBER('Lançamento'!$N19),'Lançamento'!$N19,0)</f>
        <v/>
      </c>
      <c r="AU19" s="42">
        <f>IF(ISNUMBER('Lançamento'!$N19),'Lançamento'!$N19,0)</f>
        <v/>
      </c>
      <c r="AV19" s="42">
        <f>IF(ISNUMBER('Lançamento'!$N19),'Lançamento'!$N19,0)</f>
        <v/>
      </c>
      <c r="AW19" s="42">
        <f>IF(ISNUMBER('Lançamento'!$N19),'Lançamento'!$N19,0)</f>
        <v/>
      </c>
      <c r="AX19" s="42">
        <f>NA()</f>
        <v/>
      </c>
      <c r="AY19" s="42">
        <f>NA()</f>
        <v/>
      </c>
      <c r="AZ19" s="42">
        <f>IF(COUNT('Lançamento'!B19:'Lançamento'!D19)=3,AVERAGE('Lançamento'!B19:'Lançamento'!D19),NA())</f>
        <v/>
      </c>
      <c r="BA19" s="42">
        <f>IF(COUNT('Lançamento'!C19:'Lançamento'!E19)=3,AVERAGE('Lançamento'!C19:'Lançamento'!E19),NA())</f>
        <v/>
      </c>
      <c r="BB19" s="42">
        <f>IF(COUNT('Lançamento'!D19:'Lançamento'!F19)=3,AVERAGE('Lançamento'!D19:'Lançamento'!F19),NA())</f>
        <v/>
      </c>
      <c r="BC19" s="42">
        <f>IF(COUNT('Lançamento'!E19:'Lançamento'!G19)=3,AVERAGE('Lançamento'!E19:'Lançamento'!G19),NA())</f>
        <v/>
      </c>
      <c r="BD19" s="42">
        <f>IF(COUNT('Lançamento'!F19:'Lançamento'!H19)=3,AVERAGE('Lançamento'!F19:'Lançamento'!H19),NA())</f>
        <v/>
      </c>
      <c r="BE19" s="42">
        <f>IF(COUNT('Lançamento'!G19:'Lançamento'!I19)=3,AVERAGE('Lançamento'!G19:'Lançamento'!I19),NA())</f>
        <v/>
      </c>
      <c r="BF19" s="42">
        <f>IF(COUNT('Lançamento'!H19:'Lançamento'!J19)=3,AVERAGE('Lançamento'!H19:'Lançamento'!J19),NA())</f>
        <v/>
      </c>
      <c r="BG19" s="42">
        <f>IF(COUNT('Lançamento'!I19:'Lançamento'!K19)=3,AVERAGE('Lançamento'!I19:'Lançamento'!K19),NA())</f>
        <v/>
      </c>
      <c r="BH19" s="42">
        <f>IF(COUNT('Lançamento'!J19:'Lançamento'!L19)=3,AVERAGE('Lançamento'!J19:'Lançamento'!L19),NA())</f>
        <v/>
      </c>
      <c r="BI19" s="42">
        <f>IF(COUNT('Lançamento'!K19:'Lançamento'!M19)=3,AVERAGE('Lançamento'!K19:'Lançamento'!M19),NA())</f>
        <v/>
      </c>
      <c r="BJ19" s="42">
        <f>IF('Lançamento'!A19="","",'Lançamento'!A19&amp;"   |   Média YTD: "&amp;IF('Lançamento'!O19="","-",ROUND('Lançamento'!O19*100,1)&amp;"%"))</f>
        <v/>
      </c>
    </row>
    <row r="20">
      <c r="A20" s="42">
        <f>IF('Lançamento'!A20="","",'Lançamento'!A20)</f>
        <v/>
      </c>
      <c r="B20" s="43">
        <f>IF(AND(ISNUMBER('Lançamento'!B20),ROUND('Lançamento'!B20,6)&gt;=ROUND('Lançamento'!$H$3,6)),'Lançamento'!B20,0)</f>
        <v/>
      </c>
      <c r="C20" s="43">
        <f>IF(AND(ISNUMBER('Lançamento'!C20),ROUND('Lançamento'!C20,6)&gt;=ROUND('Lançamento'!$H$3,6)),'Lançamento'!C20,0)</f>
        <v/>
      </c>
      <c r="D20" s="43">
        <f>IF(AND(ISNUMBER('Lançamento'!D20),ROUND('Lançamento'!D20,6)&gt;=ROUND('Lançamento'!$H$3,6)),'Lançamento'!D20,0)</f>
        <v/>
      </c>
      <c r="E20" s="43">
        <f>IF(AND(ISNUMBER('Lançamento'!E20),ROUND('Lançamento'!E20,6)&gt;=ROUND('Lançamento'!$H$3,6)),'Lançamento'!E20,0)</f>
        <v/>
      </c>
      <c r="F20" s="43">
        <f>IF(AND(ISNUMBER('Lançamento'!F20),ROUND('Lançamento'!F20,6)&gt;=ROUND('Lançamento'!$H$3,6)),'Lançamento'!F20,0)</f>
        <v/>
      </c>
      <c r="G20" s="43">
        <f>IF(AND(ISNUMBER('Lançamento'!G20),ROUND('Lançamento'!G20,6)&gt;=ROUND('Lançamento'!$H$3,6)),'Lançamento'!G20,0)</f>
        <v/>
      </c>
      <c r="H20" s="43">
        <f>IF(AND(ISNUMBER('Lançamento'!H20),ROUND('Lançamento'!H20,6)&gt;=ROUND('Lançamento'!$H$3,6)),'Lançamento'!H20,0)</f>
        <v/>
      </c>
      <c r="I20" s="43">
        <f>IF(AND(ISNUMBER('Lançamento'!I20),ROUND('Lançamento'!I20,6)&gt;=ROUND('Lançamento'!$H$3,6)),'Lançamento'!I20,0)</f>
        <v/>
      </c>
      <c r="J20" s="43">
        <f>IF(AND(ISNUMBER('Lançamento'!J20),ROUND('Lançamento'!J20,6)&gt;=ROUND('Lançamento'!$H$3,6)),'Lançamento'!J20,0)</f>
        <v/>
      </c>
      <c r="K20" s="43">
        <f>IF(AND(ISNUMBER('Lançamento'!K20),ROUND('Lançamento'!K20,6)&gt;=ROUND('Lançamento'!$H$3,6)),'Lançamento'!K20,0)</f>
        <v/>
      </c>
      <c r="L20" s="43">
        <f>IF(AND(ISNUMBER('Lançamento'!L20),ROUND('Lançamento'!L20,6)&gt;=ROUND('Lançamento'!$H$3,6)),'Lançamento'!L20,0)</f>
        <v/>
      </c>
      <c r="M20" s="43">
        <f>IF(AND(ISNUMBER('Lançamento'!M20),ROUND('Lançamento'!M20,6)&gt;=ROUND('Lançamento'!$H$3,6)),'Lançamento'!M20,0)</f>
        <v/>
      </c>
      <c r="N20" s="43">
        <f>IF(AND(ISNUMBER('Lançamento'!B20),ROUND('Lançamento'!B20,6)&lt;ROUND('Lançamento'!$H$3,6),ROUND('Lançamento'!B20,6)&gt;=ROUND('Lançamento'!$K$3,6)),'Lançamento'!B20,0)</f>
        <v/>
      </c>
      <c r="O20" s="43">
        <f>IF(AND(ISNUMBER('Lançamento'!C20),ROUND('Lançamento'!C20,6)&lt;ROUND('Lançamento'!$H$3,6),ROUND('Lançamento'!C20,6)&gt;=ROUND('Lançamento'!$K$3,6)),'Lançamento'!C20,0)</f>
        <v/>
      </c>
      <c r="P20" s="43">
        <f>IF(AND(ISNUMBER('Lançamento'!D20),ROUND('Lançamento'!D20,6)&lt;ROUND('Lançamento'!$H$3,6),ROUND('Lançamento'!D20,6)&gt;=ROUND('Lançamento'!$K$3,6)),'Lançamento'!D20,0)</f>
        <v/>
      </c>
      <c r="Q20" s="43">
        <f>IF(AND(ISNUMBER('Lançamento'!E20),ROUND('Lançamento'!E20,6)&lt;ROUND('Lançamento'!$H$3,6),ROUND('Lançamento'!E20,6)&gt;=ROUND('Lançamento'!$K$3,6)),'Lançamento'!E20,0)</f>
        <v/>
      </c>
      <c r="R20" s="43">
        <f>IF(AND(ISNUMBER('Lançamento'!F20),ROUND('Lançamento'!F20,6)&lt;ROUND('Lançamento'!$H$3,6),ROUND('Lançamento'!F20,6)&gt;=ROUND('Lançamento'!$K$3,6)),'Lançamento'!F20,0)</f>
        <v/>
      </c>
      <c r="S20" s="43">
        <f>IF(AND(ISNUMBER('Lançamento'!G20),ROUND('Lançamento'!G20,6)&lt;ROUND('Lançamento'!$H$3,6),ROUND('Lançamento'!G20,6)&gt;=ROUND('Lançamento'!$K$3,6)),'Lançamento'!G20,0)</f>
        <v/>
      </c>
      <c r="T20" s="43">
        <f>IF(AND(ISNUMBER('Lançamento'!H20),ROUND('Lançamento'!H20,6)&lt;ROUND('Lançamento'!$H$3,6),ROUND('Lançamento'!H20,6)&gt;=ROUND('Lançamento'!$K$3,6)),'Lançamento'!H20,0)</f>
        <v/>
      </c>
      <c r="U20" s="43">
        <f>IF(AND(ISNUMBER('Lançamento'!I20),ROUND('Lançamento'!I20,6)&lt;ROUND('Lançamento'!$H$3,6),ROUND('Lançamento'!I20,6)&gt;=ROUND('Lançamento'!$K$3,6)),'Lançamento'!I20,0)</f>
        <v/>
      </c>
      <c r="V20" s="43">
        <f>IF(AND(ISNUMBER('Lançamento'!J20),ROUND('Lançamento'!J20,6)&lt;ROUND('Lançamento'!$H$3,6),ROUND('Lançamento'!J20,6)&gt;=ROUND('Lançamento'!$K$3,6)),'Lançamento'!J20,0)</f>
        <v/>
      </c>
      <c r="W20" s="43">
        <f>IF(AND(ISNUMBER('Lançamento'!K20),ROUND('Lançamento'!K20,6)&lt;ROUND('Lançamento'!$H$3,6),ROUND('Lançamento'!K20,6)&gt;=ROUND('Lançamento'!$K$3,6)),'Lançamento'!K20,0)</f>
        <v/>
      </c>
      <c r="X20" s="43">
        <f>IF(AND(ISNUMBER('Lançamento'!L20),ROUND('Lançamento'!L20,6)&lt;ROUND('Lançamento'!$H$3,6),ROUND('Lançamento'!L20,6)&gt;=ROUND('Lançamento'!$K$3,6)),'Lançamento'!L20,0)</f>
        <v/>
      </c>
      <c r="Y20" s="43">
        <f>IF(AND(ISNUMBER('Lançamento'!M20),ROUND('Lançamento'!M20,6)&lt;ROUND('Lançamento'!$H$3,6),ROUND('Lançamento'!M20,6)&gt;=ROUND('Lançamento'!$K$3,6)),'Lançamento'!M20,0)</f>
        <v/>
      </c>
      <c r="Z20" s="43">
        <f>IF(AND(ISNUMBER('Lançamento'!B20),ROUND('Lançamento'!B20,6)&lt;ROUND('Lançamento'!$K$3,6)),'Lançamento'!B20,0)</f>
        <v/>
      </c>
      <c r="AA20" s="43">
        <f>IF(AND(ISNUMBER('Lançamento'!C20),ROUND('Lançamento'!C20,6)&lt;ROUND('Lançamento'!$K$3,6)),'Lançamento'!C20,0)</f>
        <v/>
      </c>
      <c r="AB20" s="43">
        <f>IF(AND(ISNUMBER('Lançamento'!D20),ROUND('Lançamento'!D20,6)&lt;ROUND('Lançamento'!$K$3,6)),'Lançamento'!D20,0)</f>
        <v/>
      </c>
      <c r="AC20" s="43">
        <f>IF(AND(ISNUMBER('Lançamento'!E20),ROUND('Lançamento'!E20,6)&lt;ROUND('Lançamento'!$K$3,6)),'Lançamento'!E20,0)</f>
        <v/>
      </c>
      <c r="AD20" s="43">
        <f>IF(AND(ISNUMBER('Lançamento'!F20),ROUND('Lançamento'!F20,6)&lt;ROUND('Lançamento'!$K$3,6)),'Lançamento'!F20,0)</f>
        <v/>
      </c>
      <c r="AE20" s="43">
        <f>IF(AND(ISNUMBER('Lançamento'!G20),ROUND('Lançamento'!G20,6)&lt;ROUND('Lançamento'!$K$3,6)),'Lançamento'!G20,0)</f>
        <v/>
      </c>
      <c r="AF20" s="43">
        <f>IF(AND(ISNUMBER('Lançamento'!H20),ROUND('Lançamento'!H20,6)&lt;ROUND('Lançamento'!$K$3,6)),'Lançamento'!H20,0)</f>
        <v/>
      </c>
      <c r="AG20" s="43">
        <f>IF(AND(ISNUMBER('Lançamento'!I20),ROUND('Lançamento'!I20,6)&lt;ROUND('Lançamento'!$K$3,6)),'Lançamento'!I20,0)</f>
        <v/>
      </c>
      <c r="AH20" s="43">
        <f>IF(AND(ISNUMBER('Lançamento'!J20),ROUND('Lançamento'!J20,6)&lt;ROUND('Lançamento'!$K$3,6)),'Lançamento'!J20,0)</f>
        <v/>
      </c>
      <c r="AI20" s="43">
        <f>IF(AND(ISNUMBER('Lançamento'!K20),ROUND('Lançamento'!K20,6)&lt;ROUND('Lançamento'!$K$3,6)),'Lançamento'!K20,0)</f>
        <v/>
      </c>
      <c r="AJ20" s="43">
        <f>IF(AND(ISNUMBER('Lançamento'!L20),ROUND('Lançamento'!L20,6)&lt;ROUND('Lançamento'!$K$3,6)),'Lançamento'!L20,0)</f>
        <v/>
      </c>
      <c r="AK20" s="43">
        <f>IF(AND(ISNUMBER('Lançamento'!M20),ROUND('Lançamento'!M20,6)&lt;ROUND('Lançamento'!$K$3,6)),'Lançamento'!M20,0)</f>
        <v/>
      </c>
      <c r="AL20" s="42">
        <f>IF(ISNUMBER('Lançamento'!$N20),'Lançamento'!$N20,0)</f>
        <v/>
      </c>
      <c r="AM20" s="42">
        <f>IF(ISNUMBER('Lançamento'!$N20),'Lançamento'!$N20,0)</f>
        <v/>
      </c>
      <c r="AN20" s="42">
        <f>IF(ISNUMBER('Lançamento'!$N20),'Lançamento'!$N20,0)</f>
        <v/>
      </c>
      <c r="AO20" s="42">
        <f>IF(ISNUMBER('Lançamento'!$N20),'Lançamento'!$N20,0)</f>
        <v/>
      </c>
      <c r="AP20" s="42">
        <f>IF(ISNUMBER('Lançamento'!$N20),'Lançamento'!$N20,0)</f>
        <v/>
      </c>
      <c r="AQ20" s="42">
        <f>IF(ISNUMBER('Lançamento'!$N20),'Lançamento'!$N20,0)</f>
        <v/>
      </c>
      <c r="AR20" s="42">
        <f>IF(ISNUMBER('Lançamento'!$N20),'Lançamento'!$N20,0)</f>
        <v/>
      </c>
      <c r="AS20" s="42">
        <f>IF(ISNUMBER('Lançamento'!$N20),'Lançamento'!$N20,0)</f>
        <v/>
      </c>
      <c r="AT20" s="42">
        <f>IF(ISNUMBER('Lançamento'!$N20),'Lançamento'!$N20,0)</f>
        <v/>
      </c>
      <c r="AU20" s="42">
        <f>IF(ISNUMBER('Lançamento'!$N20),'Lançamento'!$N20,0)</f>
        <v/>
      </c>
      <c r="AV20" s="42">
        <f>IF(ISNUMBER('Lançamento'!$N20),'Lançamento'!$N20,0)</f>
        <v/>
      </c>
      <c r="AW20" s="42">
        <f>IF(ISNUMBER('Lançamento'!$N20),'Lançamento'!$N20,0)</f>
        <v/>
      </c>
      <c r="AX20" s="42">
        <f>NA()</f>
        <v/>
      </c>
      <c r="AY20" s="42">
        <f>NA()</f>
        <v/>
      </c>
      <c r="AZ20" s="42">
        <f>IF(COUNT('Lançamento'!B20:'Lançamento'!D20)=3,AVERAGE('Lançamento'!B20:'Lançamento'!D20),NA())</f>
        <v/>
      </c>
      <c r="BA20" s="42">
        <f>IF(COUNT('Lançamento'!C20:'Lançamento'!E20)=3,AVERAGE('Lançamento'!C20:'Lançamento'!E20),NA())</f>
        <v/>
      </c>
      <c r="BB20" s="42">
        <f>IF(COUNT('Lançamento'!D20:'Lançamento'!F20)=3,AVERAGE('Lançamento'!D20:'Lançamento'!F20),NA())</f>
        <v/>
      </c>
      <c r="BC20" s="42">
        <f>IF(COUNT('Lançamento'!E20:'Lançamento'!G20)=3,AVERAGE('Lançamento'!E20:'Lançamento'!G20),NA())</f>
        <v/>
      </c>
      <c r="BD20" s="42">
        <f>IF(COUNT('Lançamento'!F20:'Lançamento'!H20)=3,AVERAGE('Lançamento'!F20:'Lançamento'!H20),NA())</f>
        <v/>
      </c>
      <c r="BE20" s="42">
        <f>IF(COUNT('Lançamento'!G20:'Lançamento'!I20)=3,AVERAGE('Lançamento'!G20:'Lançamento'!I20),NA())</f>
        <v/>
      </c>
      <c r="BF20" s="42">
        <f>IF(COUNT('Lançamento'!H20:'Lançamento'!J20)=3,AVERAGE('Lançamento'!H20:'Lançamento'!J20),NA())</f>
        <v/>
      </c>
      <c r="BG20" s="42">
        <f>IF(COUNT('Lançamento'!I20:'Lançamento'!K20)=3,AVERAGE('Lançamento'!I20:'Lançamento'!K20),NA())</f>
        <v/>
      </c>
      <c r="BH20" s="42">
        <f>IF(COUNT('Lançamento'!J20:'Lançamento'!L20)=3,AVERAGE('Lançamento'!J20:'Lançamento'!L20),NA())</f>
        <v/>
      </c>
      <c r="BI20" s="42">
        <f>IF(COUNT('Lançamento'!K20:'Lançamento'!M20)=3,AVERAGE('Lançamento'!K20:'Lançamento'!M20),NA())</f>
        <v/>
      </c>
      <c r="BJ20" s="42">
        <f>IF('Lançamento'!A20="","",'Lançamento'!A20&amp;"   |   Média YTD: "&amp;IF('Lançamento'!O20="","-",ROUND('Lançamento'!O20*100,1)&amp;"%"))</f>
        <v/>
      </c>
    </row>
    <row r="21">
      <c r="A21" s="42">
        <f>IF('Lançamento'!A21="","",'Lançamento'!A21)</f>
        <v/>
      </c>
      <c r="B21" s="43">
        <f>IF(AND(ISNUMBER('Lançamento'!B21),ROUND('Lançamento'!B21,6)&gt;=ROUND('Lançamento'!$H$3,6)),'Lançamento'!B21,0)</f>
        <v/>
      </c>
      <c r="C21" s="43">
        <f>IF(AND(ISNUMBER('Lançamento'!C21),ROUND('Lançamento'!C21,6)&gt;=ROUND('Lançamento'!$H$3,6)),'Lançamento'!C21,0)</f>
        <v/>
      </c>
      <c r="D21" s="43">
        <f>IF(AND(ISNUMBER('Lançamento'!D21),ROUND('Lançamento'!D21,6)&gt;=ROUND('Lançamento'!$H$3,6)),'Lançamento'!D21,0)</f>
        <v/>
      </c>
      <c r="E21" s="43">
        <f>IF(AND(ISNUMBER('Lançamento'!E21),ROUND('Lançamento'!E21,6)&gt;=ROUND('Lançamento'!$H$3,6)),'Lançamento'!E21,0)</f>
        <v/>
      </c>
      <c r="F21" s="43">
        <f>IF(AND(ISNUMBER('Lançamento'!F21),ROUND('Lançamento'!F21,6)&gt;=ROUND('Lançamento'!$H$3,6)),'Lançamento'!F21,0)</f>
        <v/>
      </c>
      <c r="G21" s="43">
        <f>IF(AND(ISNUMBER('Lançamento'!G21),ROUND('Lançamento'!G21,6)&gt;=ROUND('Lançamento'!$H$3,6)),'Lançamento'!G21,0)</f>
        <v/>
      </c>
      <c r="H21" s="43">
        <f>IF(AND(ISNUMBER('Lançamento'!H21),ROUND('Lançamento'!H21,6)&gt;=ROUND('Lançamento'!$H$3,6)),'Lançamento'!H21,0)</f>
        <v/>
      </c>
      <c r="I21" s="43">
        <f>IF(AND(ISNUMBER('Lançamento'!I21),ROUND('Lançamento'!I21,6)&gt;=ROUND('Lançamento'!$H$3,6)),'Lançamento'!I21,0)</f>
        <v/>
      </c>
      <c r="J21" s="43">
        <f>IF(AND(ISNUMBER('Lançamento'!J21),ROUND('Lançamento'!J21,6)&gt;=ROUND('Lançamento'!$H$3,6)),'Lançamento'!J21,0)</f>
        <v/>
      </c>
      <c r="K21" s="43">
        <f>IF(AND(ISNUMBER('Lançamento'!K21),ROUND('Lançamento'!K21,6)&gt;=ROUND('Lançamento'!$H$3,6)),'Lançamento'!K21,0)</f>
        <v/>
      </c>
      <c r="L21" s="43">
        <f>IF(AND(ISNUMBER('Lançamento'!L21),ROUND('Lançamento'!L21,6)&gt;=ROUND('Lançamento'!$H$3,6)),'Lançamento'!L21,0)</f>
        <v/>
      </c>
      <c r="M21" s="43">
        <f>IF(AND(ISNUMBER('Lançamento'!M21),ROUND('Lançamento'!M21,6)&gt;=ROUND('Lançamento'!$H$3,6)),'Lançamento'!M21,0)</f>
        <v/>
      </c>
      <c r="N21" s="43">
        <f>IF(AND(ISNUMBER('Lançamento'!B21),ROUND('Lançamento'!B21,6)&lt;ROUND('Lançamento'!$H$3,6),ROUND('Lançamento'!B21,6)&gt;=ROUND('Lançamento'!$K$3,6)),'Lançamento'!B21,0)</f>
        <v/>
      </c>
      <c r="O21" s="43">
        <f>IF(AND(ISNUMBER('Lançamento'!C21),ROUND('Lançamento'!C21,6)&lt;ROUND('Lançamento'!$H$3,6),ROUND('Lançamento'!C21,6)&gt;=ROUND('Lançamento'!$K$3,6)),'Lançamento'!C21,0)</f>
        <v/>
      </c>
      <c r="P21" s="43">
        <f>IF(AND(ISNUMBER('Lançamento'!D21),ROUND('Lançamento'!D21,6)&lt;ROUND('Lançamento'!$H$3,6),ROUND('Lançamento'!D21,6)&gt;=ROUND('Lançamento'!$K$3,6)),'Lançamento'!D21,0)</f>
        <v/>
      </c>
      <c r="Q21" s="43">
        <f>IF(AND(ISNUMBER('Lançamento'!E21),ROUND('Lançamento'!E21,6)&lt;ROUND('Lançamento'!$H$3,6),ROUND('Lançamento'!E21,6)&gt;=ROUND('Lançamento'!$K$3,6)),'Lançamento'!E21,0)</f>
        <v/>
      </c>
      <c r="R21" s="43">
        <f>IF(AND(ISNUMBER('Lançamento'!F21),ROUND('Lançamento'!F21,6)&lt;ROUND('Lançamento'!$H$3,6),ROUND('Lançamento'!F21,6)&gt;=ROUND('Lançamento'!$K$3,6)),'Lançamento'!F21,0)</f>
        <v/>
      </c>
      <c r="S21" s="43">
        <f>IF(AND(ISNUMBER('Lançamento'!G21),ROUND('Lançamento'!G21,6)&lt;ROUND('Lançamento'!$H$3,6),ROUND('Lançamento'!G21,6)&gt;=ROUND('Lançamento'!$K$3,6)),'Lançamento'!G21,0)</f>
        <v/>
      </c>
      <c r="T21" s="43">
        <f>IF(AND(ISNUMBER('Lançamento'!H21),ROUND('Lançamento'!H21,6)&lt;ROUND('Lançamento'!$H$3,6),ROUND('Lançamento'!H21,6)&gt;=ROUND('Lançamento'!$K$3,6)),'Lançamento'!H21,0)</f>
        <v/>
      </c>
      <c r="U21" s="43">
        <f>IF(AND(ISNUMBER('Lançamento'!I21),ROUND('Lançamento'!I21,6)&lt;ROUND('Lançamento'!$H$3,6),ROUND('Lançamento'!I21,6)&gt;=ROUND('Lançamento'!$K$3,6)),'Lançamento'!I21,0)</f>
        <v/>
      </c>
      <c r="V21" s="43">
        <f>IF(AND(ISNUMBER('Lançamento'!J21),ROUND('Lançamento'!J21,6)&lt;ROUND('Lançamento'!$H$3,6),ROUND('Lançamento'!J21,6)&gt;=ROUND('Lançamento'!$K$3,6)),'Lançamento'!J21,0)</f>
        <v/>
      </c>
      <c r="W21" s="43">
        <f>IF(AND(ISNUMBER('Lançamento'!K21),ROUND('Lançamento'!K21,6)&lt;ROUND('Lançamento'!$H$3,6),ROUND('Lançamento'!K21,6)&gt;=ROUND('Lançamento'!$K$3,6)),'Lançamento'!K21,0)</f>
        <v/>
      </c>
      <c r="X21" s="43">
        <f>IF(AND(ISNUMBER('Lançamento'!L21),ROUND('Lançamento'!L21,6)&lt;ROUND('Lançamento'!$H$3,6),ROUND('Lançamento'!L21,6)&gt;=ROUND('Lançamento'!$K$3,6)),'Lançamento'!L21,0)</f>
        <v/>
      </c>
      <c r="Y21" s="43">
        <f>IF(AND(ISNUMBER('Lançamento'!M21),ROUND('Lançamento'!M21,6)&lt;ROUND('Lançamento'!$H$3,6),ROUND('Lançamento'!M21,6)&gt;=ROUND('Lançamento'!$K$3,6)),'Lançamento'!M21,0)</f>
        <v/>
      </c>
      <c r="Z21" s="43">
        <f>IF(AND(ISNUMBER('Lançamento'!B21),ROUND('Lançamento'!B21,6)&lt;ROUND('Lançamento'!$K$3,6)),'Lançamento'!B21,0)</f>
        <v/>
      </c>
      <c r="AA21" s="43">
        <f>IF(AND(ISNUMBER('Lançamento'!C21),ROUND('Lançamento'!C21,6)&lt;ROUND('Lançamento'!$K$3,6)),'Lançamento'!C21,0)</f>
        <v/>
      </c>
      <c r="AB21" s="43">
        <f>IF(AND(ISNUMBER('Lançamento'!D21),ROUND('Lançamento'!D21,6)&lt;ROUND('Lançamento'!$K$3,6)),'Lançamento'!D21,0)</f>
        <v/>
      </c>
      <c r="AC21" s="43">
        <f>IF(AND(ISNUMBER('Lançamento'!E21),ROUND('Lançamento'!E21,6)&lt;ROUND('Lançamento'!$K$3,6)),'Lançamento'!E21,0)</f>
        <v/>
      </c>
      <c r="AD21" s="43">
        <f>IF(AND(ISNUMBER('Lançamento'!F21),ROUND('Lançamento'!F21,6)&lt;ROUND('Lançamento'!$K$3,6)),'Lançamento'!F21,0)</f>
        <v/>
      </c>
      <c r="AE21" s="43">
        <f>IF(AND(ISNUMBER('Lançamento'!G21),ROUND('Lançamento'!G21,6)&lt;ROUND('Lançamento'!$K$3,6)),'Lançamento'!G21,0)</f>
        <v/>
      </c>
      <c r="AF21" s="43">
        <f>IF(AND(ISNUMBER('Lançamento'!H21),ROUND('Lançamento'!H21,6)&lt;ROUND('Lançamento'!$K$3,6)),'Lançamento'!H21,0)</f>
        <v/>
      </c>
      <c r="AG21" s="43">
        <f>IF(AND(ISNUMBER('Lançamento'!I21),ROUND('Lançamento'!I21,6)&lt;ROUND('Lançamento'!$K$3,6)),'Lançamento'!I21,0)</f>
        <v/>
      </c>
      <c r="AH21" s="43">
        <f>IF(AND(ISNUMBER('Lançamento'!J21),ROUND('Lançamento'!J21,6)&lt;ROUND('Lançamento'!$K$3,6)),'Lançamento'!J21,0)</f>
        <v/>
      </c>
      <c r="AI21" s="43">
        <f>IF(AND(ISNUMBER('Lançamento'!K21),ROUND('Lançamento'!K21,6)&lt;ROUND('Lançamento'!$K$3,6)),'Lançamento'!K21,0)</f>
        <v/>
      </c>
      <c r="AJ21" s="43">
        <f>IF(AND(ISNUMBER('Lançamento'!L21),ROUND('Lançamento'!L21,6)&lt;ROUND('Lançamento'!$K$3,6)),'Lançamento'!L21,0)</f>
        <v/>
      </c>
      <c r="AK21" s="43">
        <f>IF(AND(ISNUMBER('Lançamento'!M21),ROUND('Lançamento'!M21,6)&lt;ROUND('Lançamento'!$K$3,6)),'Lançamento'!M21,0)</f>
        <v/>
      </c>
      <c r="AL21" s="42">
        <f>IF(ISNUMBER('Lançamento'!$N21),'Lançamento'!$N21,0)</f>
        <v/>
      </c>
      <c r="AM21" s="42">
        <f>IF(ISNUMBER('Lançamento'!$N21),'Lançamento'!$N21,0)</f>
        <v/>
      </c>
      <c r="AN21" s="42">
        <f>IF(ISNUMBER('Lançamento'!$N21),'Lançamento'!$N21,0)</f>
        <v/>
      </c>
      <c r="AO21" s="42">
        <f>IF(ISNUMBER('Lançamento'!$N21),'Lançamento'!$N21,0)</f>
        <v/>
      </c>
      <c r="AP21" s="42">
        <f>IF(ISNUMBER('Lançamento'!$N21),'Lançamento'!$N21,0)</f>
        <v/>
      </c>
      <c r="AQ21" s="42">
        <f>IF(ISNUMBER('Lançamento'!$N21),'Lançamento'!$N21,0)</f>
        <v/>
      </c>
      <c r="AR21" s="42">
        <f>IF(ISNUMBER('Lançamento'!$N21),'Lançamento'!$N21,0)</f>
        <v/>
      </c>
      <c r="AS21" s="42">
        <f>IF(ISNUMBER('Lançamento'!$N21),'Lançamento'!$N21,0)</f>
        <v/>
      </c>
      <c r="AT21" s="42">
        <f>IF(ISNUMBER('Lançamento'!$N21),'Lançamento'!$N21,0)</f>
        <v/>
      </c>
      <c r="AU21" s="42">
        <f>IF(ISNUMBER('Lançamento'!$N21),'Lançamento'!$N21,0)</f>
        <v/>
      </c>
      <c r="AV21" s="42">
        <f>IF(ISNUMBER('Lançamento'!$N21),'Lançamento'!$N21,0)</f>
        <v/>
      </c>
      <c r="AW21" s="42">
        <f>IF(ISNUMBER('Lançamento'!$N21),'Lançamento'!$N21,0)</f>
        <v/>
      </c>
      <c r="AX21" s="42">
        <f>NA()</f>
        <v/>
      </c>
      <c r="AY21" s="42">
        <f>NA()</f>
        <v/>
      </c>
      <c r="AZ21" s="42">
        <f>IF(COUNT('Lançamento'!B21:'Lançamento'!D21)=3,AVERAGE('Lançamento'!B21:'Lançamento'!D21),NA())</f>
        <v/>
      </c>
      <c r="BA21" s="42">
        <f>IF(COUNT('Lançamento'!C21:'Lançamento'!E21)=3,AVERAGE('Lançamento'!C21:'Lançamento'!E21),NA())</f>
        <v/>
      </c>
      <c r="BB21" s="42">
        <f>IF(COUNT('Lançamento'!D21:'Lançamento'!F21)=3,AVERAGE('Lançamento'!D21:'Lançamento'!F21),NA())</f>
        <v/>
      </c>
      <c r="BC21" s="42">
        <f>IF(COUNT('Lançamento'!E21:'Lançamento'!G21)=3,AVERAGE('Lançamento'!E21:'Lançamento'!G21),NA())</f>
        <v/>
      </c>
      <c r="BD21" s="42">
        <f>IF(COUNT('Lançamento'!F21:'Lançamento'!H21)=3,AVERAGE('Lançamento'!F21:'Lançamento'!H21),NA())</f>
        <v/>
      </c>
      <c r="BE21" s="42">
        <f>IF(COUNT('Lançamento'!G21:'Lançamento'!I21)=3,AVERAGE('Lançamento'!G21:'Lançamento'!I21),NA())</f>
        <v/>
      </c>
      <c r="BF21" s="42">
        <f>IF(COUNT('Lançamento'!H21:'Lançamento'!J21)=3,AVERAGE('Lançamento'!H21:'Lançamento'!J21),NA())</f>
        <v/>
      </c>
      <c r="BG21" s="42">
        <f>IF(COUNT('Lançamento'!I21:'Lançamento'!K21)=3,AVERAGE('Lançamento'!I21:'Lançamento'!K21),NA())</f>
        <v/>
      </c>
      <c r="BH21" s="42">
        <f>IF(COUNT('Lançamento'!J21:'Lançamento'!L21)=3,AVERAGE('Lançamento'!J21:'Lançamento'!L21),NA())</f>
        <v/>
      </c>
      <c r="BI21" s="42">
        <f>IF(COUNT('Lançamento'!K21:'Lançamento'!M21)=3,AVERAGE('Lançamento'!K21:'Lançamento'!M21),NA())</f>
        <v/>
      </c>
      <c r="BJ21" s="42">
        <f>IF('Lançamento'!A21="","",'Lançamento'!A21&amp;"   |   Média YTD: "&amp;IF('Lançamento'!O21="","-",ROUND('Lançamento'!O21*100,1)&amp;"%"))</f>
        <v/>
      </c>
    </row>
    <row r="22">
      <c r="A22" s="42">
        <f>IF('Lançamento'!A22="","",'Lançamento'!A22)</f>
        <v/>
      </c>
      <c r="B22" s="43">
        <f>IF(AND(ISNUMBER('Lançamento'!B22),ROUND('Lançamento'!B22,6)&gt;=ROUND('Lançamento'!$H$3,6)),'Lançamento'!B22,0)</f>
        <v/>
      </c>
      <c r="C22" s="43">
        <f>IF(AND(ISNUMBER('Lançamento'!C22),ROUND('Lançamento'!C22,6)&gt;=ROUND('Lançamento'!$H$3,6)),'Lançamento'!C22,0)</f>
        <v/>
      </c>
      <c r="D22" s="43">
        <f>IF(AND(ISNUMBER('Lançamento'!D22),ROUND('Lançamento'!D22,6)&gt;=ROUND('Lançamento'!$H$3,6)),'Lançamento'!D22,0)</f>
        <v/>
      </c>
      <c r="E22" s="43">
        <f>IF(AND(ISNUMBER('Lançamento'!E22),ROUND('Lançamento'!E22,6)&gt;=ROUND('Lançamento'!$H$3,6)),'Lançamento'!E22,0)</f>
        <v/>
      </c>
      <c r="F22" s="43">
        <f>IF(AND(ISNUMBER('Lançamento'!F22),ROUND('Lançamento'!F22,6)&gt;=ROUND('Lançamento'!$H$3,6)),'Lançamento'!F22,0)</f>
        <v/>
      </c>
      <c r="G22" s="43">
        <f>IF(AND(ISNUMBER('Lançamento'!G22),ROUND('Lançamento'!G22,6)&gt;=ROUND('Lançamento'!$H$3,6)),'Lançamento'!G22,0)</f>
        <v/>
      </c>
      <c r="H22" s="43">
        <f>IF(AND(ISNUMBER('Lançamento'!H22),ROUND('Lançamento'!H22,6)&gt;=ROUND('Lançamento'!$H$3,6)),'Lançamento'!H22,0)</f>
        <v/>
      </c>
      <c r="I22" s="43">
        <f>IF(AND(ISNUMBER('Lançamento'!I22),ROUND('Lançamento'!I22,6)&gt;=ROUND('Lançamento'!$H$3,6)),'Lançamento'!I22,0)</f>
        <v/>
      </c>
      <c r="J22" s="43">
        <f>IF(AND(ISNUMBER('Lançamento'!J22),ROUND('Lançamento'!J22,6)&gt;=ROUND('Lançamento'!$H$3,6)),'Lançamento'!J22,0)</f>
        <v/>
      </c>
      <c r="K22" s="43">
        <f>IF(AND(ISNUMBER('Lançamento'!K22),ROUND('Lançamento'!K22,6)&gt;=ROUND('Lançamento'!$H$3,6)),'Lançamento'!K22,0)</f>
        <v/>
      </c>
      <c r="L22" s="43">
        <f>IF(AND(ISNUMBER('Lançamento'!L22),ROUND('Lançamento'!L22,6)&gt;=ROUND('Lançamento'!$H$3,6)),'Lançamento'!L22,0)</f>
        <v/>
      </c>
      <c r="M22" s="43">
        <f>IF(AND(ISNUMBER('Lançamento'!M22),ROUND('Lançamento'!M22,6)&gt;=ROUND('Lançamento'!$H$3,6)),'Lançamento'!M22,0)</f>
        <v/>
      </c>
      <c r="N22" s="43">
        <f>IF(AND(ISNUMBER('Lançamento'!B22),ROUND('Lançamento'!B22,6)&lt;ROUND('Lançamento'!$H$3,6),ROUND('Lançamento'!B22,6)&gt;=ROUND('Lançamento'!$K$3,6)),'Lançamento'!B22,0)</f>
        <v/>
      </c>
      <c r="O22" s="43">
        <f>IF(AND(ISNUMBER('Lançamento'!C22),ROUND('Lançamento'!C22,6)&lt;ROUND('Lançamento'!$H$3,6),ROUND('Lançamento'!C22,6)&gt;=ROUND('Lançamento'!$K$3,6)),'Lançamento'!C22,0)</f>
        <v/>
      </c>
      <c r="P22" s="43">
        <f>IF(AND(ISNUMBER('Lançamento'!D22),ROUND('Lançamento'!D22,6)&lt;ROUND('Lançamento'!$H$3,6),ROUND('Lançamento'!D22,6)&gt;=ROUND('Lançamento'!$K$3,6)),'Lançamento'!D22,0)</f>
        <v/>
      </c>
      <c r="Q22" s="43">
        <f>IF(AND(ISNUMBER('Lançamento'!E22),ROUND('Lançamento'!E22,6)&lt;ROUND('Lançamento'!$H$3,6),ROUND('Lançamento'!E22,6)&gt;=ROUND('Lançamento'!$K$3,6)),'Lançamento'!E22,0)</f>
        <v/>
      </c>
      <c r="R22" s="43">
        <f>IF(AND(ISNUMBER('Lançamento'!F22),ROUND('Lançamento'!F22,6)&lt;ROUND('Lançamento'!$H$3,6),ROUND('Lançamento'!F22,6)&gt;=ROUND('Lançamento'!$K$3,6)),'Lançamento'!F22,0)</f>
        <v/>
      </c>
      <c r="S22" s="43">
        <f>IF(AND(ISNUMBER('Lançamento'!G22),ROUND('Lançamento'!G22,6)&lt;ROUND('Lançamento'!$H$3,6),ROUND('Lançamento'!G22,6)&gt;=ROUND('Lançamento'!$K$3,6)),'Lançamento'!G22,0)</f>
        <v/>
      </c>
      <c r="T22" s="43">
        <f>IF(AND(ISNUMBER('Lançamento'!H22),ROUND('Lançamento'!H22,6)&lt;ROUND('Lançamento'!$H$3,6),ROUND('Lançamento'!H22,6)&gt;=ROUND('Lançamento'!$K$3,6)),'Lançamento'!H22,0)</f>
        <v/>
      </c>
      <c r="U22" s="43">
        <f>IF(AND(ISNUMBER('Lançamento'!I22),ROUND('Lançamento'!I22,6)&lt;ROUND('Lançamento'!$H$3,6),ROUND('Lançamento'!I22,6)&gt;=ROUND('Lançamento'!$K$3,6)),'Lançamento'!I22,0)</f>
        <v/>
      </c>
      <c r="V22" s="43">
        <f>IF(AND(ISNUMBER('Lançamento'!J22),ROUND('Lançamento'!J22,6)&lt;ROUND('Lançamento'!$H$3,6),ROUND('Lançamento'!J22,6)&gt;=ROUND('Lançamento'!$K$3,6)),'Lançamento'!J22,0)</f>
        <v/>
      </c>
      <c r="W22" s="43">
        <f>IF(AND(ISNUMBER('Lançamento'!K22),ROUND('Lançamento'!K22,6)&lt;ROUND('Lançamento'!$H$3,6),ROUND('Lançamento'!K22,6)&gt;=ROUND('Lançamento'!$K$3,6)),'Lançamento'!K22,0)</f>
        <v/>
      </c>
      <c r="X22" s="43">
        <f>IF(AND(ISNUMBER('Lançamento'!L22),ROUND('Lançamento'!L22,6)&lt;ROUND('Lançamento'!$H$3,6),ROUND('Lançamento'!L22,6)&gt;=ROUND('Lançamento'!$K$3,6)),'Lançamento'!L22,0)</f>
        <v/>
      </c>
      <c r="Y22" s="43">
        <f>IF(AND(ISNUMBER('Lançamento'!M22),ROUND('Lançamento'!M22,6)&lt;ROUND('Lançamento'!$H$3,6),ROUND('Lançamento'!M22,6)&gt;=ROUND('Lançamento'!$K$3,6)),'Lançamento'!M22,0)</f>
        <v/>
      </c>
      <c r="Z22" s="43">
        <f>IF(AND(ISNUMBER('Lançamento'!B22),ROUND('Lançamento'!B22,6)&lt;ROUND('Lançamento'!$K$3,6)),'Lançamento'!B22,0)</f>
        <v/>
      </c>
      <c r="AA22" s="43">
        <f>IF(AND(ISNUMBER('Lançamento'!C22),ROUND('Lançamento'!C22,6)&lt;ROUND('Lançamento'!$K$3,6)),'Lançamento'!C22,0)</f>
        <v/>
      </c>
      <c r="AB22" s="43">
        <f>IF(AND(ISNUMBER('Lançamento'!D22),ROUND('Lançamento'!D22,6)&lt;ROUND('Lançamento'!$K$3,6)),'Lançamento'!D22,0)</f>
        <v/>
      </c>
      <c r="AC22" s="43">
        <f>IF(AND(ISNUMBER('Lançamento'!E22),ROUND('Lançamento'!E22,6)&lt;ROUND('Lançamento'!$K$3,6)),'Lançamento'!E22,0)</f>
        <v/>
      </c>
      <c r="AD22" s="43">
        <f>IF(AND(ISNUMBER('Lançamento'!F22),ROUND('Lançamento'!F22,6)&lt;ROUND('Lançamento'!$K$3,6)),'Lançamento'!F22,0)</f>
        <v/>
      </c>
      <c r="AE22" s="43">
        <f>IF(AND(ISNUMBER('Lançamento'!G22),ROUND('Lançamento'!G22,6)&lt;ROUND('Lançamento'!$K$3,6)),'Lançamento'!G22,0)</f>
        <v/>
      </c>
      <c r="AF22" s="43">
        <f>IF(AND(ISNUMBER('Lançamento'!H22),ROUND('Lançamento'!H22,6)&lt;ROUND('Lançamento'!$K$3,6)),'Lançamento'!H22,0)</f>
        <v/>
      </c>
      <c r="AG22" s="43">
        <f>IF(AND(ISNUMBER('Lançamento'!I22),ROUND('Lançamento'!I22,6)&lt;ROUND('Lançamento'!$K$3,6)),'Lançamento'!I22,0)</f>
        <v/>
      </c>
      <c r="AH22" s="43">
        <f>IF(AND(ISNUMBER('Lançamento'!J22),ROUND('Lançamento'!J22,6)&lt;ROUND('Lançamento'!$K$3,6)),'Lançamento'!J22,0)</f>
        <v/>
      </c>
      <c r="AI22" s="43">
        <f>IF(AND(ISNUMBER('Lançamento'!K22),ROUND('Lançamento'!K22,6)&lt;ROUND('Lançamento'!$K$3,6)),'Lançamento'!K22,0)</f>
        <v/>
      </c>
      <c r="AJ22" s="43">
        <f>IF(AND(ISNUMBER('Lançamento'!L22),ROUND('Lançamento'!L22,6)&lt;ROUND('Lançamento'!$K$3,6)),'Lançamento'!L22,0)</f>
        <v/>
      </c>
      <c r="AK22" s="43">
        <f>IF(AND(ISNUMBER('Lançamento'!M22),ROUND('Lançamento'!M22,6)&lt;ROUND('Lançamento'!$K$3,6)),'Lançamento'!M22,0)</f>
        <v/>
      </c>
      <c r="AL22" s="42">
        <f>IF(ISNUMBER('Lançamento'!$N22),'Lançamento'!$N22,0)</f>
        <v/>
      </c>
      <c r="AM22" s="42">
        <f>IF(ISNUMBER('Lançamento'!$N22),'Lançamento'!$N22,0)</f>
        <v/>
      </c>
      <c r="AN22" s="42">
        <f>IF(ISNUMBER('Lançamento'!$N22),'Lançamento'!$N22,0)</f>
        <v/>
      </c>
      <c r="AO22" s="42">
        <f>IF(ISNUMBER('Lançamento'!$N22),'Lançamento'!$N22,0)</f>
        <v/>
      </c>
      <c r="AP22" s="42">
        <f>IF(ISNUMBER('Lançamento'!$N22),'Lançamento'!$N22,0)</f>
        <v/>
      </c>
      <c r="AQ22" s="42">
        <f>IF(ISNUMBER('Lançamento'!$N22),'Lançamento'!$N22,0)</f>
        <v/>
      </c>
      <c r="AR22" s="42">
        <f>IF(ISNUMBER('Lançamento'!$N22),'Lançamento'!$N22,0)</f>
        <v/>
      </c>
      <c r="AS22" s="42">
        <f>IF(ISNUMBER('Lançamento'!$N22),'Lançamento'!$N22,0)</f>
        <v/>
      </c>
      <c r="AT22" s="42">
        <f>IF(ISNUMBER('Lançamento'!$N22),'Lançamento'!$N22,0)</f>
        <v/>
      </c>
      <c r="AU22" s="42">
        <f>IF(ISNUMBER('Lançamento'!$N22),'Lançamento'!$N22,0)</f>
        <v/>
      </c>
      <c r="AV22" s="42">
        <f>IF(ISNUMBER('Lançamento'!$N22),'Lançamento'!$N22,0)</f>
        <v/>
      </c>
      <c r="AW22" s="42">
        <f>IF(ISNUMBER('Lançamento'!$N22),'Lançamento'!$N22,0)</f>
        <v/>
      </c>
      <c r="AX22" s="42">
        <f>NA()</f>
        <v/>
      </c>
      <c r="AY22" s="42">
        <f>NA()</f>
        <v/>
      </c>
      <c r="AZ22" s="42">
        <f>IF(COUNT('Lançamento'!B22:'Lançamento'!D22)=3,AVERAGE('Lançamento'!B22:'Lançamento'!D22),NA())</f>
        <v/>
      </c>
      <c r="BA22" s="42">
        <f>IF(COUNT('Lançamento'!C22:'Lançamento'!E22)=3,AVERAGE('Lançamento'!C22:'Lançamento'!E22),NA())</f>
        <v/>
      </c>
      <c r="BB22" s="42">
        <f>IF(COUNT('Lançamento'!D22:'Lançamento'!F22)=3,AVERAGE('Lançamento'!D22:'Lançamento'!F22),NA())</f>
        <v/>
      </c>
      <c r="BC22" s="42">
        <f>IF(COUNT('Lançamento'!E22:'Lançamento'!G22)=3,AVERAGE('Lançamento'!E22:'Lançamento'!G22),NA())</f>
        <v/>
      </c>
      <c r="BD22" s="42">
        <f>IF(COUNT('Lançamento'!F22:'Lançamento'!H22)=3,AVERAGE('Lançamento'!F22:'Lançamento'!H22),NA())</f>
        <v/>
      </c>
      <c r="BE22" s="42">
        <f>IF(COUNT('Lançamento'!G22:'Lançamento'!I22)=3,AVERAGE('Lançamento'!G22:'Lançamento'!I22),NA())</f>
        <v/>
      </c>
      <c r="BF22" s="42">
        <f>IF(COUNT('Lançamento'!H22:'Lançamento'!J22)=3,AVERAGE('Lançamento'!H22:'Lançamento'!J22),NA())</f>
        <v/>
      </c>
      <c r="BG22" s="42">
        <f>IF(COUNT('Lançamento'!I22:'Lançamento'!K22)=3,AVERAGE('Lançamento'!I22:'Lançamento'!K22),NA())</f>
        <v/>
      </c>
      <c r="BH22" s="42">
        <f>IF(COUNT('Lançamento'!J22:'Lançamento'!L22)=3,AVERAGE('Lançamento'!J22:'Lançamento'!L22),NA())</f>
        <v/>
      </c>
      <c r="BI22" s="42">
        <f>IF(COUNT('Lançamento'!K22:'Lançamento'!M22)=3,AVERAGE('Lançamento'!K22:'Lançamento'!M22),NA())</f>
        <v/>
      </c>
      <c r="BJ22" s="42">
        <f>IF('Lançamento'!A22="","",'Lançamento'!A22&amp;"   |   Média YTD: "&amp;IF('Lançamento'!O22="","-",ROUND('Lançamento'!O22*100,1)&amp;"%"))</f>
        <v/>
      </c>
    </row>
    <row r="23">
      <c r="A23" s="42">
        <f>IF('Lançamento'!A23="","",'Lançamento'!A23)</f>
        <v/>
      </c>
      <c r="B23" s="43">
        <f>IF(AND(ISNUMBER('Lançamento'!B23),ROUND('Lançamento'!B23,6)&gt;=ROUND('Lançamento'!$H$3,6)),'Lançamento'!B23,0)</f>
        <v/>
      </c>
      <c r="C23" s="43">
        <f>IF(AND(ISNUMBER('Lançamento'!C23),ROUND('Lançamento'!C23,6)&gt;=ROUND('Lançamento'!$H$3,6)),'Lançamento'!C23,0)</f>
        <v/>
      </c>
      <c r="D23" s="43">
        <f>IF(AND(ISNUMBER('Lançamento'!D23),ROUND('Lançamento'!D23,6)&gt;=ROUND('Lançamento'!$H$3,6)),'Lançamento'!D23,0)</f>
        <v/>
      </c>
      <c r="E23" s="43">
        <f>IF(AND(ISNUMBER('Lançamento'!E23),ROUND('Lançamento'!E23,6)&gt;=ROUND('Lançamento'!$H$3,6)),'Lançamento'!E23,0)</f>
        <v/>
      </c>
      <c r="F23" s="43">
        <f>IF(AND(ISNUMBER('Lançamento'!F23),ROUND('Lançamento'!F23,6)&gt;=ROUND('Lançamento'!$H$3,6)),'Lançamento'!F23,0)</f>
        <v/>
      </c>
      <c r="G23" s="43">
        <f>IF(AND(ISNUMBER('Lançamento'!G23),ROUND('Lançamento'!G23,6)&gt;=ROUND('Lançamento'!$H$3,6)),'Lançamento'!G23,0)</f>
        <v/>
      </c>
      <c r="H23" s="43">
        <f>IF(AND(ISNUMBER('Lançamento'!H23),ROUND('Lançamento'!H23,6)&gt;=ROUND('Lançamento'!$H$3,6)),'Lançamento'!H23,0)</f>
        <v/>
      </c>
      <c r="I23" s="43">
        <f>IF(AND(ISNUMBER('Lançamento'!I23),ROUND('Lançamento'!I23,6)&gt;=ROUND('Lançamento'!$H$3,6)),'Lançamento'!I23,0)</f>
        <v/>
      </c>
      <c r="J23" s="43">
        <f>IF(AND(ISNUMBER('Lançamento'!J23),ROUND('Lançamento'!J23,6)&gt;=ROUND('Lançamento'!$H$3,6)),'Lançamento'!J23,0)</f>
        <v/>
      </c>
      <c r="K23" s="43">
        <f>IF(AND(ISNUMBER('Lançamento'!K23),ROUND('Lançamento'!K23,6)&gt;=ROUND('Lançamento'!$H$3,6)),'Lançamento'!K23,0)</f>
        <v/>
      </c>
      <c r="L23" s="43">
        <f>IF(AND(ISNUMBER('Lançamento'!L23),ROUND('Lançamento'!L23,6)&gt;=ROUND('Lançamento'!$H$3,6)),'Lançamento'!L23,0)</f>
        <v/>
      </c>
      <c r="M23" s="43">
        <f>IF(AND(ISNUMBER('Lançamento'!M23),ROUND('Lançamento'!M23,6)&gt;=ROUND('Lançamento'!$H$3,6)),'Lançamento'!M23,0)</f>
        <v/>
      </c>
      <c r="N23" s="43">
        <f>IF(AND(ISNUMBER('Lançamento'!B23),ROUND('Lançamento'!B23,6)&lt;ROUND('Lançamento'!$H$3,6),ROUND('Lançamento'!B23,6)&gt;=ROUND('Lançamento'!$K$3,6)),'Lançamento'!B23,0)</f>
        <v/>
      </c>
      <c r="O23" s="43">
        <f>IF(AND(ISNUMBER('Lançamento'!C23),ROUND('Lançamento'!C23,6)&lt;ROUND('Lançamento'!$H$3,6),ROUND('Lançamento'!C23,6)&gt;=ROUND('Lançamento'!$K$3,6)),'Lançamento'!C23,0)</f>
        <v/>
      </c>
      <c r="P23" s="43">
        <f>IF(AND(ISNUMBER('Lançamento'!D23),ROUND('Lançamento'!D23,6)&lt;ROUND('Lançamento'!$H$3,6),ROUND('Lançamento'!D23,6)&gt;=ROUND('Lançamento'!$K$3,6)),'Lançamento'!D23,0)</f>
        <v/>
      </c>
      <c r="Q23" s="43">
        <f>IF(AND(ISNUMBER('Lançamento'!E23),ROUND('Lançamento'!E23,6)&lt;ROUND('Lançamento'!$H$3,6),ROUND('Lançamento'!E23,6)&gt;=ROUND('Lançamento'!$K$3,6)),'Lançamento'!E23,0)</f>
        <v/>
      </c>
      <c r="R23" s="43">
        <f>IF(AND(ISNUMBER('Lançamento'!F23),ROUND('Lançamento'!F23,6)&lt;ROUND('Lançamento'!$H$3,6),ROUND('Lançamento'!F23,6)&gt;=ROUND('Lançamento'!$K$3,6)),'Lançamento'!F23,0)</f>
        <v/>
      </c>
      <c r="S23" s="43">
        <f>IF(AND(ISNUMBER('Lançamento'!G23),ROUND('Lançamento'!G23,6)&lt;ROUND('Lançamento'!$H$3,6),ROUND('Lançamento'!G23,6)&gt;=ROUND('Lançamento'!$K$3,6)),'Lançamento'!G23,0)</f>
        <v/>
      </c>
      <c r="T23" s="43">
        <f>IF(AND(ISNUMBER('Lançamento'!H23),ROUND('Lançamento'!H23,6)&lt;ROUND('Lançamento'!$H$3,6),ROUND('Lançamento'!H23,6)&gt;=ROUND('Lançamento'!$K$3,6)),'Lançamento'!H23,0)</f>
        <v/>
      </c>
      <c r="U23" s="43">
        <f>IF(AND(ISNUMBER('Lançamento'!I23),ROUND('Lançamento'!I23,6)&lt;ROUND('Lançamento'!$H$3,6),ROUND('Lançamento'!I23,6)&gt;=ROUND('Lançamento'!$K$3,6)),'Lançamento'!I23,0)</f>
        <v/>
      </c>
      <c r="V23" s="43">
        <f>IF(AND(ISNUMBER('Lançamento'!J23),ROUND('Lançamento'!J23,6)&lt;ROUND('Lançamento'!$H$3,6),ROUND('Lançamento'!J23,6)&gt;=ROUND('Lançamento'!$K$3,6)),'Lançamento'!J23,0)</f>
        <v/>
      </c>
      <c r="W23" s="43">
        <f>IF(AND(ISNUMBER('Lançamento'!K23),ROUND('Lançamento'!K23,6)&lt;ROUND('Lançamento'!$H$3,6),ROUND('Lançamento'!K23,6)&gt;=ROUND('Lançamento'!$K$3,6)),'Lançamento'!K23,0)</f>
        <v/>
      </c>
      <c r="X23" s="43">
        <f>IF(AND(ISNUMBER('Lançamento'!L23),ROUND('Lançamento'!L23,6)&lt;ROUND('Lançamento'!$H$3,6),ROUND('Lançamento'!L23,6)&gt;=ROUND('Lançamento'!$K$3,6)),'Lançamento'!L23,0)</f>
        <v/>
      </c>
      <c r="Y23" s="43">
        <f>IF(AND(ISNUMBER('Lançamento'!M23),ROUND('Lançamento'!M23,6)&lt;ROUND('Lançamento'!$H$3,6),ROUND('Lançamento'!M23,6)&gt;=ROUND('Lançamento'!$K$3,6)),'Lançamento'!M23,0)</f>
        <v/>
      </c>
      <c r="Z23" s="43">
        <f>IF(AND(ISNUMBER('Lançamento'!B23),ROUND('Lançamento'!B23,6)&lt;ROUND('Lançamento'!$K$3,6)),'Lançamento'!B23,0)</f>
        <v/>
      </c>
      <c r="AA23" s="43">
        <f>IF(AND(ISNUMBER('Lançamento'!C23),ROUND('Lançamento'!C23,6)&lt;ROUND('Lançamento'!$K$3,6)),'Lançamento'!C23,0)</f>
        <v/>
      </c>
      <c r="AB23" s="43">
        <f>IF(AND(ISNUMBER('Lançamento'!D23),ROUND('Lançamento'!D23,6)&lt;ROUND('Lançamento'!$K$3,6)),'Lançamento'!D23,0)</f>
        <v/>
      </c>
      <c r="AC23" s="43">
        <f>IF(AND(ISNUMBER('Lançamento'!E23),ROUND('Lançamento'!E23,6)&lt;ROUND('Lançamento'!$K$3,6)),'Lançamento'!E23,0)</f>
        <v/>
      </c>
      <c r="AD23" s="43">
        <f>IF(AND(ISNUMBER('Lançamento'!F23),ROUND('Lançamento'!F23,6)&lt;ROUND('Lançamento'!$K$3,6)),'Lançamento'!F23,0)</f>
        <v/>
      </c>
      <c r="AE23" s="43">
        <f>IF(AND(ISNUMBER('Lançamento'!G23),ROUND('Lançamento'!G23,6)&lt;ROUND('Lançamento'!$K$3,6)),'Lançamento'!G23,0)</f>
        <v/>
      </c>
      <c r="AF23" s="43">
        <f>IF(AND(ISNUMBER('Lançamento'!H23),ROUND('Lançamento'!H23,6)&lt;ROUND('Lançamento'!$K$3,6)),'Lançamento'!H23,0)</f>
        <v/>
      </c>
      <c r="AG23" s="43">
        <f>IF(AND(ISNUMBER('Lançamento'!I23),ROUND('Lançamento'!I23,6)&lt;ROUND('Lançamento'!$K$3,6)),'Lançamento'!I23,0)</f>
        <v/>
      </c>
      <c r="AH23" s="43">
        <f>IF(AND(ISNUMBER('Lançamento'!J23),ROUND('Lançamento'!J23,6)&lt;ROUND('Lançamento'!$K$3,6)),'Lançamento'!J23,0)</f>
        <v/>
      </c>
      <c r="AI23" s="43">
        <f>IF(AND(ISNUMBER('Lançamento'!K23),ROUND('Lançamento'!K23,6)&lt;ROUND('Lançamento'!$K$3,6)),'Lançamento'!K23,0)</f>
        <v/>
      </c>
      <c r="AJ23" s="43">
        <f>IF(AND(ISNUMBER('Lançamento'!L23),ROUND('Lançamento'!L23,6)&lt;ROUND('Lançamento'!$K$3,6)),'Lançamento'!L23,0)</f>
        <v/>
      </c>
      <c r="AK23" s="43">
        <f>IF(AND(ISNUMBER('Lançamento'!M23),ROUND('Lançamento'!M23,6)&lt;ROUND('Lançamento'!$K$3,6)),'Lançamento'!M23,0)</f>
        <v/>
      </c>
      <c r="AL23" s="42">
        <f>IF(ISNUMBER('Lançamento'!$N23),'Lançamento'!$N23,0)</f>
        <v/>
      </c>
      <c r="AM23" s="42">
        <f>IF(ISNUMBER('Lançamento'!$N23),'Lançamento'!$N23,0)</f>
        <v/>
      </c>
      <c r="AN23" s="42">
        <f>IF(ISNUMBER('Lançamento'!$N23),'Lançamento'!$N23,0)</f>
        <v/>
      </c>
      <c r="AO23" s="42">
        <f>IF(ISNUMBER('Lançamento'!$N23),'Lançamento'!$N23,0)</f>
        <v/>
      </c>
      <c r="AP23" s="42">
        <f>IF(ISNUMBER('Lançamento'!$N23),'Lançamento'!$N23,0)</f>
        <v/>
      </c>
      <c r="AQ23" s="42">
        <f>IF(ISNUMBER('Lançamento'!$N23),'Lançamento'!$N23,0)</f>
        <v/>
      </c>
      <c r="AR23" s="42">
        <f>IF(ISNUMBER('Lançamento'!$N23),'Lançamento'!$N23,0)</f>
        <v/>
      </c>
      <c r="AS23" s="42">
        <f>IF(ISNUMBER('Lançamento'!$N23),'Lançamento'!$N23,0)</f>
        <v/>
      </c>
      <c r="AT23" s="42">
        <f>IF(ISNUMBER('Lançamento'!$N23),'Lançamento'!$N23,0)</f>
        <v/>
      </c>
      <c r="AU23" s="42">
        <f>IF(ISNUMBER('Lançamento'!$N23),'Lançamento'!$N23,0)</f>
        <v/>
      </c>
      <c r="AV23" s="42">
        <f>IF(ISNUMBER('Lançamento'!$N23),'Lançamento'!$N23,0)</f>
        <v/>
      </c>
      <c r="AW23" s="42">
        <f>IF(ISNUMBER('Lançamento'!$N23),'Lançamento'!$N23,0)</f>
        <v/>
      </c>
      <c r="AX23" s="42">
        <f>NA()</f>
        <v/>
      </c>
      <c r="AY23" s="42">
        <f>NA()</f>
        <v/>
      </c>
      <c r="AZ23" s="42">
        <f>IF(COUNT('Lançamento'!B23:'Lançamento'!D23)=3,AVERAGE('Lançamento'!B23:'Lançamento'!D23),NA())</f>
        <v/>
      </c>
      <c r="BA23" s="42">
        <f>IF(COUNT('Lançamento'!C23:'Lançamento'!E23)=3,AVERAGE('Lançamento'!C23:'Lançamento'!E23),NA())</f>
        <v/>
      </c>
      <c r="BB23" s="42">
        <f>IF(COUNT('Lançamento'!D23:'Lançamento'!F23)=3,AVERAGE('Lançamento'!D23:'Lançamento'!F23),NA())</f>
        <v/>
      </c>
      <c r="BC23" s="42">
        <f>IF(COUNT('Lançamento'!E23:'Lançamento'!G23)=3,AVERAGE('Lançamento'!E23:'Lançamento'!G23),NA())</f>
        <v/>
      </c>
      <c r="BD23" s="42">
        <f>IF(COUNT('Lançamento'!F23:'Lançamento'!H23)=3,AVERAGE('Lançamento'!F23:'Lançamento'!H23),NA())</f>
        <v/>
      </c>
      <c r="BE23" s="42">
        <f>IF(COUNT('Lançamento'!G23:'Lançamento'!I23)=3,AVERAGE('Lançamento'!G23:'Lançamento'!I23),NA())</f>
        <v/>
      </c>
      <c r="BF23" s="42">
        <f>IF(COUNT('Lançamento'!H23:'Lançamento'!J23)=3,AVERAGE('Lançamento'!H23:'Lançamento'!J23),NA())</f>
        <v/>
      </c>
      <c r="BG23" s="42">
        <f>IF(COUNT('Lançamento'!I23:'Lançamento'!K23)=3,AVERAGE('Lançamento'!I23:'Lançamento'!K23),NA())</f>
        <v/>
      </c>
      <c r="BH23" s="42">
        <f>IF(COUNT('Lançamento'!J23:'Lançamento'!L23)=3,AVERAGE('Lançamento'!J23:'Lançamento'!L23),NA())</f>
        <v/>
      </c>
      <c r="BI23" s="42">
        <f>IF(COUNT('Lançamento'!K23:'Lançamento'!M23)=3,AVERAGE('Lançamento'!K23:'Lançamento'!M23),NA())</f>
        <v/>
      </c>
      <c r="BJ23" s="42">
        <f>IF('Lançamento'!A23="","",'Lançamento'!A23&amp;"   |   Média YTD: "&amp;IF('Lançamento'!O23="","-",ROUND('Lançamento'!O23*100,1)&amp;"%"))</f>
        <v/>
      </c>
    </row>
    <row r="24">
      <c r="A24" s="42">
        <f>IF('Lançamento'!A24="","",'Lançamento'!A24)</f>
        <v/>
      </c>
      <c r="B24" s="43">
        <f>IF(AND(ISNUMBER('Lançamento'!B24),ROUND('Lançamento'!B24,6)&gt;=ROUND('Lançamento'!$H$3,6)),'Lançamento'!B24,0)</f>
        <v/>
      </c>
      <c r="C24" s="43">
        <f>IF(AND(ISNUMBER('Lançamento'!C24),ROUND('Lançamento'!C24,6)&gt;=ROUND('Lançamento'!$H$3,6)),'Lançamento'!C24,0)</f>
        <v/>
      </c>
      <c r="D24" s="43">
        <f>IF(AND(ISNUMBER('Lançamento'!D24),ROUND('Lançamento'!D24,6)&gt;=ROUND('Lançamento'!$H$3,6)),'Lançamento'!D24,0)</f>
        <v/>
      </c>
      <c r="E24" s="43">
        <f>IF(AND(ISNUMBER('Lançamento'!E24),ROUND('Lançamento'!E24,6)&gt;=ROUND('Lançamento'!$H$3,6)),'Lançamento'!E24,0)</f>
        <v/>
      </c>
      <c r="F24" s="43">
        <f>IF(AND(ISNUMBER('Lançamento'!F24),ROUND('Lançamento'!F24,6)&gt;=ROUND('Lançamento'!$H$3,6)),'Lançamento'!F24,0)</f>
        <v/>
      </c>
      <c r="G24" s="43">
        <f>IF(AND(ISNUMBER('Lançamento'!G24),ROUND('Lançamento'!G24,6)&gt;=ROUND('Lançamento'!$H$3,6)),'Lançamento'!G24,0)</f>
        <v/>
      </c>
      <c r="H24" s="43">
        <f>IF(AND(ISNUMBER('Lançamento'!H24),ROUND('Lançamento'!H24,6)&gt;=ROUND('Lançamento'!$H$3,6)),'Lançamento'!H24,0)</f>
        <v/>
      </c>
      <c r="I24" s="43">
        <f>IF(AND(ISNUMBER('Lançamento'!I24),ROUND('Lançamento'!I24,6)&gt;=ROUND('Lançamento'!$H$3,6)),'Lançamento'!I24,0)</f>
        <v/>
      </c>
      <c r="J24" s="43">
        <f>IF(AND(ISNUMBER('Lançamento'!J24),ROUND('Lançamento'!J24,6)&gt;=ROUND('Lançamento'!$H$3,6)),'Lançamento'!J24,0)</f>
        <v/>
      </c>
      <c r="K24" s="43">
        <f>IF(AND(ISNUMBER('Lançamento'!K24),ROUND('Lançamento'!K24,6)&gt;=ROUND('Lançamento'!$H$3,6)),'Lançamento'!K24,0)</f>
        <v/>
      </c>
      <c r="L24" s="43">
        <f>IF(AND(ISNUMBER('Lançamento'!L24),ROUND('Lançamento'!L24,6)&gt;=ROUND('Lançamento'!$H$3,6)),'Lançamento'!L24,0)</f>
        <v/>
      </c>
      <c r="M24" s="43">
        <f>IF(AND(ISNUMBER('Lançamento'!M24),ROUND('Lançamento'!M24,6)&gt;=ROUND('Lançamento'!$H$3,6)),'Lançamento'!M24,0)</f>
        <v/>
      </c>
      <c r="N24" s="43">
        <f>IF(AND(ISNUMBER('Lançamento'!B24),ROUND('Lançamento'!B24,6)&lt;ROUND('Lançamento'!$H$3,6),ROUND('Lançamento'!B24,6)&gt;=ROUND('Lançamento'!$K$3,6)),'Lançamento'!B24,0)</f>
        <v/>
      </c>
      <c r="O24" s="43">
        <f>IF(AND(ISNUMBER('Lançamento'!C24),ROUND('Lançamento'!C24,6)&lt;ROUND('Lançamento'!$H$3,6),ROUND('Lançamento'!C24,6)&gt;=ROUND('Lançamento'!$K$3,6)),'Lançamento'!C24,0)</f>
        <v/>
      </c>
      <c r="P24" s="43">
        <f>IF(AND(ISNUMBER('Lançamento'!D24),ROUND('Lançamento'!D24,6)&lt;ROUND('Lançamento'!$H$3,6),ROUND('Lançamento'!D24,6)&gt;=ROUND('Lançamento'!$K$3,6)),'Lançamento'!D24,0)</f>
        <v/>
      </c>
      <c r="Q24" s="43">
        <f>IF(AND(ISNUMBER('Lançamento'!E24),ROUND('Lançamento'!E24,6)&lt;ROUND('Lançamento'!$H$3,6),ROUND('Lançamento'!E24,6)&gt;=ROUND('Lançamento'!$K$3,6)),'Lançamento'!E24,0)</f>
        <v/>
      </c>
      <c r="R24" s="43">
        <f>IF(AND(ISNUMBER('Lançamento'!F24),ROUND('Lançamento'!F24,6)&lt;ROUND('Lançamento'!$H$3,6),ROUND('Lançamento'!F24,6)&gt;=ROUND('Lançamento'!$K$3,6)),'Lançamento'!F24,0)</f>
        <v/>
      </c>
      <c r="S24" s="43">
        <f>IF(AND(ISNUMBER('Lançamento'!G24),ROUND('Lançamento'!G24,6)&lt;ROUND('Lançamento'!$H$3,6),ROUND('Lançamento'!G24,6)&gt;=ROUND('Lançamento'!$K$3,6)),'Lançamento'!G24,0)</f>
        <v/>
      </c>
      <c r="T24" s="43">
        <f>IF(AND(ISNUMBER('Lançamento'!H24),ROUND('Lançamento'!H24,6)&lt;ROUND('Lançamento'!$H$3,6),ROUND('Lançamento'!H24,6)&gt;=ROUND('Lançamento'!$K$3,6)),'Lançamento'!H24,0)</f>
        <v/>
      </c>
      <c r="U24" s="43">
        <f>IF(AND(ISNUMBER('Lançamento'!I24),ROUND('Lançamento'!I24,6)&lt;ROUND('Lançamento'!$H$3,6),ROUND('Lançamento'!I24,6)&gt;=ROUND('Lançamento'!$K$3,6)),'Lançamento'!I24,0)</f>
        <v/>
      </c>
      <c r="V24" s="43">
        <f>IF(AND(ISNUMBER('Lançamento'!J24),ROUND('Lançamento'!J24,6)&lt;ROUND('Lançamento'!$H$3,6),ROUND('Lançamento'!J24,6)&gt;=ROUND('Lançamento'!$K$3,6)),'Lançamento'!J24,0)</f>
        <v/>
      </c>
      <c r="W24" s="43">
        <f>IF(AND(ISNUMBER('Lançamento'!K24),ROUND('Lançamento'!K24,6)&lt;ROUND('Lançamento'!$H$3,6),ROUND('Lançamento'!K24,6)&gt;=ROUND('Lançamento'!$K$3,6)),'Lançamento'!K24,0)</f>
        <v/>
      </c>
      <c r="X24" s="43">
        <f>IF(AND(ISNUMBER('Lançamento'!L24),ROUND('Lançamento'!L24,6)&lt;ROUND('Lançamento'!$H$3,6),ROUND('Lançamento'!L24,6)&gt;=ROUND('Lançamento'!$K$3,6)),'Lançamento'!L24,0)</f>
        <v/>
      </c>
      <c r="Y24" s="43">
        <f>IF(AND(ISNUMBER('Lançamento'!M24),ROUND('Lançamento'!M24,6)&lt;ROUND('Lançamento'!$H$3,6),ROUND('Lançamento'!M24,6)&gt;=ROUND('Lançamento'!$K$3,6)),'Lançamento'!M24,0)</f>
        <v/>
      </c>
      <c r="Z24" s="43">
        <f>IF(AND(ISNUMBER('Lançamento'!B24),ROUND('Lançamento'!B24,6)&lt;ROUND('Lançamento'!$K$3,6)),'Lançamento'!B24,0)</f>
        <v/>
      </c>
      <c r="AA24" s="43">
        <f>IF(AND(ISNUMBER('Lançamento'!C24),ROUND('Lançamento'!C24,6)&lt;ROUND('Lançamento'!$K$3,6)),'Lançamento'!C24,0)</f>
        <v/>
      </c>
      <c r="AB24" s="43">
        <f>IF(AND(ISNUMBER('Lançamento'!D24),ROUND('Lançamento'!D24,6)&lt;ROUND('Lançamento'!$K$3,6)),'Lançamento'!D24,0)</f>
        <v/>
      </c>
      <c r="AC24" s="43">
        <f>IF(AND(ISNUMBER('Lançamento'!E24),ROUND('Lançamento'!E24,6)&lt;ROUND('Lançamento'!$K$3,6)),'Lançamento'!E24,0)</f>
        <v/>
      </c>
      <c r="AD24" s="43">
        <f>IF(AND(ISNUMBER('Lançamento'!F24),ROUND('Lançamento'!F24,6)&lt;ROUND('Lançamento'!$K$3,6)),'Lançamento'!F24,0)</f>
        <v/>
      </c>
      <c r="AE24" s="43">
        <f>IF(AND(ISNUMBER('Lançamento'!G24),ROUND('Lançamento'!G24,6)&lt;ROUND('Lançamento'!$K$3,6)),'Lançamento'!G24,0)</f>
        <v/>
      </c>
      <c r="AF24" s="43">
        <f>IF(AND(ISNUMBER('Lançamento'!H24),ROUND('Lançamento'!H24,6)&lt;ROUND('Lançamento'!$K$3,6)),'Lançamento'!H24,0)</f>
        <v/>
      </c>
      <c r="AG24" s="43">
        <f>IF(AND(ISNUMBER('Lançamento'!I24),ROUND('Lançamento'!I24,6)&lt;ROUND('Lançamento'!$K$3,6)),'Lançamento'!I24,0)</f>
        <v/>
      </c>
      <c r="AH24" s="43">
        <f>IF(AND(ISNUMBER('Lançamento'!J24),ROUND('Lançamento'!J24,6)&lt;ROUND('Lançamento'!$K$3,6)),'Lançamento'!J24,0)</f>
        <v/>
      </c>
      <c r="AI24" s="43">
        <f>IF(AND(ISNUMBER('Lançamento'!K24),ROUND('Lançamento'!K24,6)&lt;ROUND('Lançamento'!$K$3,6)),'Lançamento'!K24,0)</f>
        <v/>
      </c>
      <c r="AJ24" s="43">
        <f>IF(AND(ISNUMBER('Lançamento'!L24),ROUND('Lançamento'!L24,6)&lt;ROUND('Lançamento'!$K$3,6)),'Lançamento'!L24,0)</f>
        <v/>
      </c>
      <c r="AK24" s="43">
        <f>IF(AND(ISNUMBER('Lançamento'!M24),ROUND('Lançamento'!M24,6)&lt;ROUND('Lançamento'!$K$3,6)),'Lançamento'!M24,0)</f>
        <v/>
      </c>
      <c r="AL24" s="42">
        <f>IF(ISNUMBER('Lançamento'!$N24),'Lançamento'!$N24,0)</f>
        <v/>
      </c>
      <c r="AM24" s="42">
        <f>IF(ISNUMBER('Lançamento'!$N24),'Lançamento'!$N24,0)</f>
        <v/>
      </c>
      <c r="AN24" s="42">
        <f>IF(ISNUMBER('Lançamento'!$N24),'Lançamento'!$N24,0)</f>
        <v/>
      </c>
      <c r="AO24" s="42">
        <f>IF(ISNUMBER('Lançamento'!$N24),'Lançamento'!$N24,0)</f>
        <v/>
      </c>
      <c r="AP24" s="42">
        <f>IF(ISNUMBER('Lançamento'!$N24),'Lançamento'!$N24,0)</f>
        <v/>
      </c>
      <c r="AQ24" s="42">
        <f>IF(ISNUMBER('Lançamento'!$N24),'Lançamento'!$N24,0)</f>
        <v/>
      </c>
      <c r="AR24" s="42">
        <f>IF(ISNUMBER('Lançamento'!$N24),'Lançamento'!$N24,0)</f>
        <v/>
      </c>
      <c r="AS24" s="42">
        <f>IF(ISNUMBER('Lançamento'!$N24),'Lançamento'!$N24,0)</f>
        <v/>
      </c>
      <c r="AT24" s="42">
        <f>IF(ISNUMBER('Lançamento'!$N24),'Lançamento'!$N24,0)</f>
        <v/>
      </c>
      <c r="AU24" s="42">
        <f>IF(ISNUMBER('Lançamento'!$N24),'Lançamento'!$N24,0)</f>
        <v/>
      </c>
      <c r="AV24" s="42">
        <f>IF(ISNUMBER('Lançamento'!$N24),'Lançamento'!$N24,0)</f>
        <v/>
      </c>
      <c r="AW24" s="42">
        <f>IF(ISNUMBER('Lançamento'!$N24),'Lançamento'!$N24,0)</f>
        <v/>
      </c>
      <c r="AX24" s="42">
        <f>NA()</f>
        <v/>
      </c>
      <c r="AY24" s="42">
        <f>NA()</f>
        <v/>
      </c>
      <c r="AZ24" s="42">
        <f>IF(COUNT('Lançamento'!B24:'Lançamento'!D24)=3,AVERAGE('Lançamento'!B24:'Lançamento'!D24),NA())</f>
        <v/>
      </c>
      <c r="BA24" s="42">
        <f>IF(COUNT('Lançamento'!C24:'Lançamento'!E24)=3,AVERAGE('Lançamento'!C24:'Lançamento'!E24),NA())</f>
        <v/>
      </c>
      <c r="BB24" s="42">
        <f>IF(COUNT('Lançamento'!D24:'Lançamento'!F24)=3,AVERAGE('Lançamento'!D24:'Lançamento'!F24),NA())</f>
        <v/>
      </c>
      <c r="BC24" s="42">
        <f>IF(COUNT('Lançamento'!E24:'Lançamento'!G24)=3,AVERAGE('Lançamento'!E24:'Lançamento'!G24),NA())</f>
        <v/>
      </c>
      <c r="BD24" s="42">
        <f>IF(COUNT('Lançamento'!F24:'Lançamento'!H24)=3,AVERAGE('Lançamento'!F24:'Lançamento'!H24),NA())</f>
        <v/>
      </c>
      <c r="BE24" s="42">
        <f>IF(COUNT('Lançamento'!G24:'Lançamento'!I24)=3,AVERAGE('Lançamento'!G24:'Lançamento'!I24),NA())</f>
        <v/>
      </c>
      <c r="BF24" s="42">
        <f>IF(COUNT('Lançamento'!H24:'Lançamento'!J24)=3,AVERAGE('Lançamento'!H24:'Lançamento'!J24),NA())</f>
        <v/>
      </c>
      <c r="BG24" s="42">
        <f>IF(COUNT('Lançamento'!I24:'Lançamento'!K24)=3,AVERAGE('Lançamento'!I24:'Lançamento'!K24),NA())</f>
        <v/>
      </c>
      <c r="BH24" s="42">
        <f>IF(COUNT('Lançamento'!J24:'Lançamento'!L24)=3,AVERAGE('Lançamento'!J24:'Lançamento'!L24),NA())</f>
        <v/>
      </c>
      <c r="BI24" s="42">
        <f>IF(COUNT('Lançamento'!K24:'Lançamento'!M24)=3,AVERAGE('Lançamento'!K24:'Lançamento'!M24),NA())</f>
        <v/>
      </c>
      <c r="BJ24" s="42">
        <f>IF('Lançamento'!A24="","",'Lançamento'!A24&amp;"   |   Média YTD: "&amp;IF('Lançamento'!O24="","-",ROUND('Lançamento'!O24*100,1)&amp;"%"))</f>
        <v/>
      </c>
    </row>
    <row r="25">
      <c r="A25" s="42">
        <f>IF('Lançamento'!A25="","",'Lançamento'!A25)</f>
        <v/>
      </c>
      <c r="B25" s="43">
        <f>IF(AND(ISNUMBER('Lançamento'!B25),ROUND('Lançamento'!B25,6)&gt;=ROUND('Lançamento'!$H$3,6)),'Lançamento'!B25,0)</f>
        <v/>
      </c>
      <c r="C25" s="43">
        <f>IF(AND(ISNUMBER('Lançamento'!C25),ROUND('Lançamento'!C25,6)&gt;=ROUND('Lançamento'!$H$3,6)),'Lançamento'!C25,0)</f>
        <v/>
      </c>
      <c r="D25" s="43">
        <f>IF(AND(ISNUMBER('Lançamento'!D25),ROUND('Lançamento'!D25,6)&gt;=ROUND('Lançamento'!$H$3,6)),'Lançamento'!D25,0)</f>
        <v/>
      </c>
      <c r="E25" s="43">
        <f>IF(AND(ISNUMBER('Lançamento'!E25),ROUND('Lançamento'!E25,6)&gt;=ROUND('Lançamento'!$H$3,6)),'Lançamento'!E25,0)</f>
        <v/>
      </c>
      <c r="F25" s="43">
        <f>IF(AND(ISNUMBER('Lançamento'!F25),ROUND('Lançamento'!F25,6)&gt;=ROUND('Lançamento'!$H$3,6)),'Lançamento'!F25,0)</f>
        <v/>
      </c>
      <c r="G25" s="43">
        <f>IF(AND(ISNUMBER('Lançamento'!G25),ROUND('Lançamento'!G25,6)&gt;=ROUND('Lançamento'!$H$3,6)),'Lançamento'!G25,0)</f>
        <v/>
      </c>
      <c r="H25" s="43">
        <f>IF(AND(ISNUMBER('Lançamento'!H25),ROUND('Lançamento'!H25,6)&gt;=ROUND('Lançamento'!$H$3,6)),'Lançamento'!H25,0)</f>
        <v/>
      </c>
      <c r="I25" s="43">
        <f>IF(AND(ISNUMBER('Lançamento'!I25),ROUND('Lançamento'!I25,6)&gt;=ROUND('Lançamento'!$H$3,6)),'Lançamento'!I25,0)</f>
        <v/>
      </c>
      <c r="J25" s="43">
        <f>IF(AND(ISNUMBER('Lançamento'!J25),ROUND('Lançamento'!J25,6)&gt;=ROUND('Lançamento'!$H$3,6)),'Lançamento'!J25,0)</f>
        <v/>
      </c>
      <c r="K25" s="43">
        <f>IF(AND(ISNUMBER('Lançamento'!K25),ROUND('Lançamento'!K25,6)&gt;=ROUND('Lançamento'!$H$3,6)),'Lançamento'!K25,0)</f>
        <v/>
      </c>
      <c r="L25" s="43">
        <f>IF(AND(ISNUMBER('Lançamento'!L25),ROUND('Lançamento'!L25,6)&gt;=ROUND('Lançamento'!$H$3,6)),'Lançamento'!L25,0)</f>
        <v/>
      </c>
      <c r="M25" s="43">
        <f>IF(AND(ISNUMBER('Lançamento'!M25),ROUND('Lançamento'!M25,6)&gt;=ROUND('Lançamento'!$H$3,6)),'Lançamento'!M25,0)</f>
        <v/>
      </c>
      <c r="N25" s="43">
        <f>IF(AND(ISNUMBER('Lançamento'!B25),ROUND('Lançamento'!B25,6)&lt;ROUND('Lançamento'!$H$3,6),ROUND('Lançamento'!B25,6)&gt;=ROUND('Lançamento'!$K$3,6)),'Lançamento'!B25,0)</f>
        <v/>
      </c>
      <c r="O25" s="43">
        <f>IF(AND(ISNUMBER('Lançamento'!C25),ROUND('Lançamento'!C25,6)&lt;ROUND('Lançamento'!$H$3,6),ROUND('Lançamento'!C25,6)&gt;=ROUND('Lançamento'!$K$3,6)),'Lançamento'!C25,0)</f>
        <v/>
      </c>
      <c r="P25" s="43">
        <f>IF(AND(ISNUMBER('Lançamento'!D25),ROUND('Lançamento'!D25,6)&lt;ROUND('Lançamento'!$H$3,6),ROUND('Lançamento'!D25,6)&gt;=ROUND('Lançamento'!$K$3,6)),'Lançamento'!D25,0)</f>
        <v/>
      </c>
      <c r="Q25" s="43">
        <f>IF(AND(ISNUMBER('Lançamento'!E25),ROUND('Lançamento'!E25,6)&lt;ROUND('Lançamento'!$H$3,6),ROUND('Lançamento'!E25,6)&gt;=ROUND('Lançamento'!$K$3,6)),'Lançamento'!E25,0)</f>
        <v/>
      </c>
      <c r="R25" s="43">
        <f>IF(AND(ISNUMBER('Lançamento'!F25),ROUND('Lançamento'!F25,6)&lt;ROUND('Lançamento'!$H$3,6),ROUND('Lançamento'!F25,6)&gt;=ROUND('Lançamento'!$K$3,6)),'Lançamento'!F25,0)</f>
        <v/>
      </c>
      <c r="S25" s="43">
        <f>IF(AND(ISNUMBER('Lançamento'!G25),ROUND('Lançamento'!G25,6)&lt;ROUND('Lançamento'!$H$3,6),ROUND('Lançamento'!G25,6)&gt;=ROUND('Lançamento'!$K$3,6)),'Lançamento'!G25,0)</f>
        <v/>
      </c>
      <c r="T25" s="43">
        <f>IF(AND(ISNUMBER('Lançamento'!H25),ROUND('Lançamento'!H25,6)&lt;ROUND('Lançamento'!$H$3,6),ROUND('Lançamento'!H25,6)&gt;=ROUND('Lançamento'!$K$3,6)),'Lançamento'!H25,0)</f>
        <v/>
      </c>
      <c r="U25" s="43">
        <f>IF(AND(ISNUMBER('Lançamento'!I25),ROUND('Lançamento'!I25,6)&lt;ROUND('Lançamento'!$H$3,6),ROUND('Lançamento'!I25,6)&gt;=ROUND('Lançamento'!$K$3,6)),'Lançamento'!I25,0)</f>
        <v/>
      </c>
      <c r="V25" s="43">
        <f>IF(AND(ISNUMBER('Lançamento'!J25),ROUND('Lançamento'!J25,6)&lt;ROUND('Lançamento'!$H$3,6),ROUND('Lançamento'!J25,6)&gt;=ROUND('Lançamento'!$K$3,6)),'Lançamento'!J25,0)</f>
        <v/>
      </c>
      <c r="W25" s="43">
        <f>IF(AND(ISNUMBER('Lançamento'!K25),ROUND('Lançamento'!K25,6)&lt;ROUND('Lançamento'!$H$3,6),ROUND('Lançamento'!K25,6)&gt;=ROUND('Lançamento'!$K$3,6)),'Lançamento'!K25,0)</f>
        <v/>
      </c>
      <c r="X25" s="43">
        <f>IF(AND(ISNUMBER('Lançamento'!L25),ROUND('Lançamento'!L25,6)&lt;ROUND('Lançamento'!$H$3,6),ROUND('Lançamento'!L25,6)&gt;=ROUND('Lançamento'!$K$3,6)),'Lançamento'!L25,0)</f>
        <v/>
      </c>
      <c r="Y25" s="43">
        <f>IF(AND(ISNUMBER('Lançamento'!M25),ROUND('Lançamento'!M25,6)&lt;ROUND('Lançamento'!$H$3,6),ROUND('Lançamento'!M25,6)&gt;=ROUND('Lançamento'!$K$3,6)),'Lançamento'!M25,0)</f>
        <v/>
      </c>
      <c r="Z25" s="43">
        <f>IF(AND(ISNUMBER('Lançamento'!B25),ROUND('Lançamento'!B25,6)&lt;ROUND('Lançamento'!$K$3,6)),'Lançamento'!B25,0)</f>
        <v/>
      </c>
      <c r="AA25" s="43">
        <f>IF(AND(ISNUMBER('Lançamento'!C25),ROUND('Lançamento'!C25,6)&lt;ROUND('Lançamento'!$K$3,6)),'Lançamento'!C25,0)</f>
        <v/>
      </c>
      <c r="AB25" s="43">
        <f>IF(AND(ISNUMBER('Lançamento'!D25),ROUND('Lançamento'!D25,6)&lt;ROUND('Lançamento'!$K$3,6)),'Lançamento'!D25,0)</f>
        <v/>
      </c>
      <c r="AC25" s="43">
        <f>IF(AND(ISNUMBER('Lançamento'!E25),ROUND('Lançamento'!E25,6)&lt;ROUND('Lançamento'!$K$3,6)),'Lançamento'!E25,0)</f>
        <v/>
      </c>
      <c r="AD25" s="43">
        <f>IF(AND(ISNUMBER('Lançamento'!F25),ROUND('Lançamento'!F25,6)&lt;ROUND('Lançamento'!$K$3,6)),'Lançamento'!F25,0)</f>
        <v/>
      </c>
      <c r="AE25" s="43">
        <f>IF(AND(ISNUMBER('Lançamento'!G25),ROUND('Lançamento'!G25,6)&lt;ROUND('Lançamento'!$K$3,6)),'Lançamento'!G25,0)</f>
        <v/>
      </c>
      <c r="AF25" s="43">
        <f>IF(AND(ISNUMBER('Lançamento'!H25),ROUND('Lançamento'!H25,6)&lt;ROUND('Lançamento'!$K$3,6)),'Lançamento'!H25,0)</f>
        <v/>
      </c>
      <c r="AG25" s="43">
        <f>IF(AND(ISNUMBER('Lançamento'!I25),ROUND('Lançamento'!I25,6)&lt;ROUND('Lançamento'!$K$3,6)),'Lançamento'!I25,0)</f>
        <v/>
      </c>
      <c r="AH25" s="43">
        <f>IF(AND(ISNUMBER('Lançamento'!J25),ROUND('Lançamento'!J25,6)&lt;ROUND('Lançamento'!$K$3,6)),'Lançamento'!J25,0)</f>
        <v/>
      </c>
      <c r="AI25" s="43">
        <f>IF(AND(ISNUMBER('Lançamento'!K25),ROUND('Lançamento'!K25,6)&lt;ROUND('Lançamento'!$K$3,6)),'Lançamento'!K25,0)</f>
        <v/>
      </c>
      <c r="AJ25" s="43">
        <f>IF(AND(ISNUMBER('Lançamento'!L25),ROUND('Lançamento'!L25,6)&lt;ROUND('Lançamento'!$K$3,6)),'Lançamento'!L25,0)</f>
        <v/>
      </c>
      <c r="AK25" s="43">
        <f>IF(AND(ISNUMBER('Lançamento'!M25),ROUND('Lançamento'!M25,6)&lt;ROUND('Lançamento'!$K$3,6)),'Lançamento'!M25,0)</f>
        <v/>
      </c>
      <c r="AL25" s="42">
        <f>IF(ISNUMBER('Lançamento'!$N25),'Lançamento'!$N25,0)</f>
        <v/>
      </c>
      <c r="AM25" s="42">
        <f>IF(ISNUMBER('Lançamento'!$N25),'Lançamento'!$N25,0)</f>
        <v/>
      </c>
      <c r="AN25" s="42">
        <f>IF(ISNUMBER('Lançamento'!$N25),'Lançamento'!$N25,0)</f>
        <v/>
      </c>
      <c r="AO25" s="42">
        <f>IF(ISNUMBER('Lançamento'!$N25),'Lançamento'!$N25,0)</f>
        <v/>
      </c>
      <c r="AP25" s="42">
        <f>IF(ISNUMBER('Lançamento'!$N25),'Lançamento'!$N25,0)</f>
        <v/>
      </c>
      <c r="AQ25" s="42">
        <f>IF(ISNUMBER('Lançamento'!$N25),'Lançamento'!$N25,0)</f>
        <v/>
      </c>
      <c r="AR25" s="42">
        <f>IF(ISNUMBER('Lançamento'!$N25),'Lançamento'!$N25,0)</f>
        <v/>
      </c>
      <c r="AS25" s="42">
        <f>IF(ISNUMBER('Lançamento'!$N25),'Lançamento'!$N25,0)</f>
        <v/>
      </c>
      <c r="AT25" s="42">
        <f>IF(ISNUMBER('Lançamento'!$N25),'Lançamento'!$N25,0)</f>
        <v/>
      </c>
      <c r="AU25" s="42">
        <f>IF(ISNUMBER('Lançamento'!$N25),'Lançamento'!$N25,0)</f>
        <v/>
      </c>
      <c r="AV25" s="42">
        <f>IF(ISNUMBER('Lançamento'!$N25),'Lançamento'!$N25,0)</f>
        <v/>
      </c>
      <c r="AW25" s="42">
        <f>IF(ISNUMBER('Lançamento'!$N25),'Lançamento'!$N25,0)</f>
        <v/>
      </c>
      <c r="AX25" s="42">
        <f>NA()</f>
        <v/>
      </c>
      <c r="AY25" s="42">
        <f>NA()</f>
        <v/>
      </c>
      <c r="AZ25" s="42">
        <f>IF(COUNT('Lançamento'!B25:'Lançamento'!D25)=3,AVERAGE('Lançamento'!B25:'Lançamento'!D25),NA())</f>
        <v/>
      </c>
      <c r="BA25" s="42">
        <f>IF(COUNT('Lançamento'!C25:'Lançamento'!E25)=3,AVERAGE('Lançamento'!C25:'Lançamento'!E25),NA())</f>
        <v/>
      </c>
      <c r="BB25" s="42">
        <f>IF(COUNT('Lançamento'!D25:'Lançamento'!F25)=3,AVERAGE('Lançamento'!D25:'Lançamento'!F25),NA())</f>
        <v/>
      </c>
      <c r="BC25" s="42">
        <f>IF(COUNT('Lançamento'!E25:'Lançamento'!G25)=3,AVERAGE('Lançamento'!E25:'Lançamento'!G25),NA())</f>
        <v/>
      </c>
      <c r="BD25" s="42">
        <f>IF(COUNT('Lançamento'!F25:'Lançamento'!H25)=3,AVERAGE('Lançamento'!F25:'Lançamento'!H25),NA())</f>
        <v/>
      </c>
      <c r="BE25" s="42">
        <f>IF(COUNT('Lançamento'!G25:'Lançamento'!I25)=3,AVERAGE('Lançamento'!G25:'Lançamento'!I25),NA())</f>
        <v/>
      </c>
      <c r="BF25" s="42">
        <f>IF(COUNT('Lançamento'!H25:'Lançamento'!J25)=3,AVERAGE('Lançamento'!H25:'Lançamento'!J25),NA())</f>
        <v/>
      </c>
      <c r="BG25" s="42">
        <f>IF(COUNT('Lançamento'!I25:'Lançamento'!K25)=3,AVERAGE('Lançamento'!I25:'Lançamento'!K25),NA())</f>
        <v/>
      </c>
      <c r="BH25" s="42">
        <f>IF(COUNT('Lançamento'!J25:'Lançamento'!L25)=3,AVERAGE('Lançamento'!J25:'Lançamento'!L25),NA())</f>
        <v/>
      </c>
      <c r="BI25" s="42">
        <f>IF(COUNT('Lançamento'!K25:'Lançamento'!M25)=3,AVERAGE('Lançamento'!K25:'Lançamento'!M25),NA())</f>
        <v/>
      </c>
      <c r="BJ25" s="42">
        <f>IF('Lançamento'!A25="","",'Lançamento'!A25&amp;"   |   Média YTD: "&amp;IF('Lançamento'!O25="","-",ROUND('Lançamento'!O25*100,1)&amp;"%"))</f>
        <v/>
      </c>
    </row>
    <row r="26">
      <c r="A26" s="42">
        <f>IF('Lançamento'!A26="","",'Lançamento'!A26)</f>
        <v/>
      </c>
      <c r="B26" s="43">
        <f>IF(AND(ISNUMBER('Lançamento'!B26),ROUND('Lançamento'!B26,6)&gt;=ROUND('Lançamento'!$H$3,6)),'Lançamento'!B26,0)</f>
        <v/>
      </c>
      <c r="C26" s="43">
        <f>IF(AND(ISNUMBER('Lançamento'!C26),ROUND('Lançamento'!C26,6)&gt;=ROUND('Lançamento'!$H$3,6)),'Lançamento'!C26,0)</f>
        <v/>
      </c>
      <c r="D26" s="43">
        <f>IF(AND(ISNUMBER('Lançamento'!D26),ROUND('Lançamento'!D26,6)&gt;=ROUND('Lançamento'!$H$3,6)),'Lançamento'!D26,0)</f>
        <v/>
      </c>
      <c r="E26" s="43">
        <f>IF(AND(ISNUMBER('Lançamento'!E26),ROUND('Lançamento'!E26,6)&gt;=ROUND('Lançamento'!$H$3,6)),'Lançamento'!E26,0)</f>
        <v/>
      </c>
      <c r="F26" s="43">
        <f>IF(AND(ISNUMBER('Lançamento'!F26),ROUND('Lançamento'!F26,6)&gt;=ROUND('Lançamento'!$H$3,6)),'Lançamento'!F26,0)</f>
        <v/>
      </c>
      <c r="G26" s="43">
        <f>IF(AND(ISNUMBER('Lançamento'!G26),ROUND('Lançamento'!G26,6)&gt;=ROUND('Lançamento'!$H$3,6)),'Lançamento'!G26,0)</f>
        <v/>
      </c>
      <c r="H26" s="43">
        <f>IF(AND(ISNUMBER('Lançamento'!H26),ROUND('Lançamento'!H26,6)&gt;=ROUND('Lançamento'!$H$3,6)),'Lançamento'!H26,0)</f>
        <v/>
      </c>
      <c r="I26" s="43">
        <f>IF(AND(ISNUMBER('Lançamento'!I26),ROUND('Lançamento'!I26,6)&gt;=ROUND('Lançamento'!$H$3,6)),'Lançamento'!I26,0)</f>
        <v/>
      </c>
      <c r="J26" s="43">
        <f>IF(AND(ISNUMBER('Lançamento'!J26),ROUND('Lançamento'!J26,6)&gt;=ROUND('Lançamento'!$H$3,6)),'Lançamento'!J26,0)</f>
        <v/>
      </c>
      <c r="K26" s="43">
        <f>IF(AND(ISNUMBER('Lançamento'!K26),ROUND('Lançamento'!K26,6)&gt;=ROUND('Lançamento'!$H$3,6)),'Lançamento'!K26,0)</f>
        <v/>
      </c>
      <c r="L26" s="43">
        <f>IF(AND(ISNUMBER('Lançamento'!L26),ROUND('Lançamento'!L26,6)&gt;=ROUND('Lançamento'!$H$3,6)),'Lançamento'!L26,0)</f>
        <v/>
      </c>
      <c r="M26" s="43">
        <f>IF(AND(ISNUMBER('Lançamento'!M26),ROUND('Lançamento'!M26,6)&gt;=ROUND('Lançamento'!$H$3,6)),'Lançamento'!M26,0)</f>
        <v/>
      </c>
      <c r="N26" s="43">
        <f>IF(AND(ISNUMBER('Lançamento'!B26),ROUND('Lançamento'!B26,6)&lt;ROUND('Lançamento'!$H$3,6),ROUND('Lançamento'!B26,6)&gt;=ROUND('Lançamento'!$K$3,6)),'Lançamento'!B26,0)</f>
        <v/>
      </c>
      <c r="O26" s="43">
        <f>IF(AND(ISNUMBER('Lançamento'!C26),ROUND('Lançamento'!C26,6)&lt;ROUND('Lançamento'!$H$3,6),ROUND('Lançamento'!C26,6)&gt;=ROUND('Lançamento'!$K$3,6)),'Lançamento'!C26,0)</f>
        <v/>
      </c>
      <c r="P26" s="43">
        <f>IF(AND(ISNUMBER('Lançamento'!D26),ROUND('Lançamento'!D26,6)&lt;ROUND('Lançamento'!$H$3,6),ROUND('Lançamento'!D26,6)&gt;=ROUND('Lançamento'!$K$3,6)),'Lançamento'!D26,0)</f>
        <v/>
      </c>
      <c r="Q26" s="43">
        <f>IF(AND(ISNUMBER('Lançamento'!E26),ROUND('Lançamento'!E26,6)&lt;ROUND('Lançamento'!$H$3,6),ROUND('Lançamento'!E26,6)&gt;=ROUND('Lançamento'!$K$3,6)),'Lançamento'!E26,0)</f>
        <v/>
      </c>
      <c r="R26" s="43">
        <f>IF(AND(ISNUMBER('Lançamento'!F26),ROUND('Lançamento'!F26,6)&lt;ROUND('Lançamento'!$H$3,6),ROUND('Lançamento'!F26,6)&gt;=ROUND('Lançamento'!$K$3,6)),'Lançamento'!F26,0)</f>
        <v/>
      </c>
      <c r="S26" s="43">
        <f>IF(AND(ISNUMBER('Lançamento'!G26),ROUND('Lançamento'!G26,6)&lt;ROUND('Lançamento'!$H$3,6),ROUND('Lançamento'!G26,6)&gt;=ROUND('Lançamento'!$K$3,6)),'Lançamento'!G26,0)</f>
        <v/>
      </c>
      <c r="T26" s="43">
        <f>IF(AND(ISNUMBER('Lançamento'!H26),ROUND('Lançamento'!H26,6)&lt;ROUND('Lançamento'!$H$3,6),ROUND('Lançamento'!H26,6)&gt;=ROUND('Lançamento'!$K$3,6)),'Lançamento'!H26,0)</f>
        <v/>
      </c>
      <c r="U26" s="43">
        <f>IF(AND(ISNUMBER('Lançamento'!I26),ROUND('Lançamento'!I26,6)&lt;ROUND('Lançamento'!$H$3,6),ROUND('Lançamento'!I26,6)&gt;=ROUND('Lançamento'!$K$3,6)),'Lançamento'!I26,0)</f>
        <v/>
      </c>
      <c r="V26" s="43">
        <f>IF(AND(ISNUMBER('Lançamento'!J26),ROUND('Lançamento'!J26,6)&lt;ROUND('Lançamento'!$H$3,6),ROUND('Lançamento'!J26,6)&gt;=ROUND('Lançamento'!$K$3,6)),'Lançamento'!J26,0)</f>
        <v/>
      </c>
      <c r="W26" s="43">
        <f>IF(AND(ISNUMBER('Lançamento'!K26),ROUND('Lançamento'!K26,6)&lt;ROUND('Lançamento'!$H$3,6),ROUND('Lançamento'!K26,6)&gt;=ROUND('Lançamento'!$K$3,6)),'Lançamento'!K26,0)</f>
        <v/>
      </c>
      <c r="X26" s="43">
        <f>IF(AND(ISNUMBER('Lançamento'!L26),ROUND('Lançamento'!L26,6)&lt;ROUND('Lançamento'!$H$3,6),ROUND('Lançamento'!L26,6)&gt;=ROUND('Lançamento'!$K$3,6)),'Lançamento'!L26,0)</f>
        <v/>
      </c>
      <c r="Y26" s="43">
        <f>IF(AND(ISNUMBER('Lançamento'!M26),ROUND('Lançamento'!M26,6)&lt;ROUND('Lançamento'!$H$3,6),ROUND('Lançamento'!M26,6)&gt;=ROUND('Lançamento'!$K$3,6)),'Lançamento'!M26,0)</f>
        <v/>
      </c>
      <c r="Z26" s="43">
        <f>IF(AND(ISNUMBER('Lançamento'!B26),ROUND('Lançamento'!B26,6)&lt;ROUND('Lançamento'!$K$3,6)),'Lançamento'!B26,0)</f>
        <v/>
      </c>
      <c r="AA26" s="43">
        <f>IF(AND(ISNUMBER('Lançamento'!C26),ROUND('Lançamento'!C26,6)&lt;ROUND('Lançamento'!$K$3,6)),'Lançamento'!C26,0)</f>
        <v/>
      </c>
      <c r="AB26" s="43">
        <f>IF(AND(ISNUMBER('Lançamento'!D26),ROUND('Lançamento'!D26,6)&lt;ROUND('Lançamento'!$K$3,6)),'Lançamento'!D26,0)</f>
        <v/>
      </c>
      <c r="AC26" s="43">
        <f>IF(AND(ISNUMBER('Lançamento'!E26),ROUND('Lançamento'!E26,6)&lt;ROUND('Lançamento'!$K$3,6)),'Lançamento'!E26,0)</f>
        <v/>
      </c>
      <c r="AD26" s="43">
        <f>IF(AND(ISNUMBER('Lançamento'!F26),ROUND('Lançamento'!F26,6)&lt;ROUND('Lançamento'!$K$3,6)),'Lançamento'!F26,0)</f>
        <v/>
      </c>
      <c r="AE26" s="43">
        <f>IF(AND(ISNUMBER('Lançamento'!G26),ROUND('Lançamento'!G26,6)&lt;ROUND('Lançamento'!$K$3,6)),'Lançamento'!G26,0)</f>
        <v/>
      </c>
      <c r="AF26" s="43">
        <f>IF(AND(ISNUMBER('Lançamento'!H26),ROUND('Lançamento'!H26,6)&lt;ROUND('Lançamento'!$K$3,6)),'Lançamento'!H26,0)</f>
        <v/>
      </c>
      <c r="AG26" s="43">
        <f>IF(AND(ISNUMBER('Lançamento'!I26),ROUND('Lançamento'!I26,6)&lt;ROUND('Lançamento'!$K$3,6)),'Lançamento'!I26,0)</f>
        <v/>
      </c>
      <c r="AH26" s="43">
        <f>IF(AND(ISNUMBER('Lançamento'!J26),ROUND('Lançamento'!J26,6)&lt;ROUND('Lançamento'!$K$3,6)),'Lançamento'!J26,0)</f>
        <v/>
      </c>
      <c r="AI26" s="43">
        <f>IF(AND(ISNUMBER('Lançamento'!K26),ROUND('Lançamento'!K26,6)&lt;ROUND('Lançamento'!$K$3,6)),'Lançamento'!K26,0)</f>
        <v/>
      </c>
      <c r="AJ26" s="43">
        <f>IF(AND(ISNUMBER('Lançamento'!L26),ROUND('Lançamento'!L26,6)&lt;ROUND('Lançamento'!$K$3,6)),'Lançamento'!L26,0)</f>
        <v/>
      </c>
      <c r="AK26" s="43">
        <f>IF(AND(ISNUMBER('Lançamento'!M26),ROUND('Lançamento'!M26,6)&lt;ROUND('Lançamento'!$K$3,6)),'Lançamento'!M26,0)</f>
        <v/>
      </c>
      <c r="AL26" s="42">
        <f>IF(ISNUMBER('Lançamento'!$N26),'Lançamento'!$N26,0)</f>
        <v/>
      </c>
      <c r="AM26" s="42">
        <f>IF(ISNUMBER('Lançamento'!$N26),'Lançamento'!$N26,0)</f>
        <v/>
      </c>
      <c r="AN26" s="42">
        <f>IF(ISNUMBER('Lançamento'!$N26),'Lançamento'!$N26,0)</f>
        <v/>
      </c>
      <c r="AO26" s="42">
        <f>IF(ISNUMBER('Lançamento'!$N26),'Lançamento'!$N26,0)</f>
        <v/>
      </c>
      <c r="AP26" s="42">
        <f>IF(ISNUMBER('Lançamento'!$N26),'Lançamento'!$N26,0)</f>
        <v/>
      </c>
      <c r="AQ26" s="42">
        <f>IF(ISNUMBER('Lançamento'!$N26),'Lançamento'!$N26,0)</f>
        <v/>
      </c>
      <c r="AR26" s="42">
        <f>IF(ISNUMBER('Lançamento'!$N26),'Lançamento'!$N26,0)</f>
        <v/>
      </c>
      <c r="AS26" s="42">
        <f>IF(ISNUMBER('Lançamento'!$N26),'Lançamento'!$N26,0)</f>
        <v/>
      </c>
      <c r="AT26" s="42">
        <f>IF(ISNUMBER('Lançamento'!$N26),'Lançamento'!$N26,0)</f>
        <v/>
      </c>
      <c r="AU26" s="42">
        <f>IF(ISNUMBER('Lançamento'!$N26),'Lançamento'!$N26,0)</f>
        <v/>
      </c>
      <c r="AV26" s="42">
        <f>IF(ISNUMBER('Lançamento'!$N26),'Lançamento'!$N26,0)</f>
        <v/>
      </c>
      <c r="AW26" s="42">
        <f>IF(ISNUMBER('Lançamento'!$N26),'Lançamento'!$N26,0)</f>
        <v/>
      </c>
      <c r="AX26" s="42">
        <f>NA()</f>
        <v/>
      </c>
      <c r="AY26" s="42">
        <f>NA()</f>
        <v/>
      </c>
      <c r="AZ26" s="42">
        <f>IF(COUNT('Lançamento'!B26:'Lançamento'!D26)=3,AVERAGE('Lançamento'!B26:'Lançamento'!D26),NA())</f>
        <v/>
      </c>
      <c r="BA26" s="42">
        <f>IF(COUNT('Lançamento'!C26:'Lançamento'!E26)=3,AVERAGE('Lançamento'!C26:'Lançamento'!E26),NA())</f>
        <v/>
      </c>
      <c r="BB26" s="42">
        <f>IF(COUNT('Lançamento'!D26:'Lançamento'!F26)=3,AVERAGE('Lançamento'!D26:'Lançamento'!F26),NA())</f>
        <v/>
      </c>
      <c r="BC26" s="42">
        <f>IF(COUNT('Lançamento'!E26:'Lançamento'!G26)=3,AVERAGE('Lançamento'!E26:'Lançamento'!G26),NA())</f>
        <v/>
      </c>
      <c r="BD26" s="42">
        <f>IF(COUNT('Lançamento'!F26:'Lançamento'!H26)=3,AVERAGE('Lançamento'!F26:'Lançamento'!H26),NA())</f>
        <v/>
      </c>
      <c r="BE26" s="42">
        <f>IF(COUNT('Lançamento'!G26:'Lançamento'!I26)=3,AVERAGE('Lançamento'!G26:'Lançamento'!I26),NA())</f>
        <v/>
      </c>
      <c r="BF26" s="42">
        <f>IF(COUNT('Lançamento'!H26:'Lançamento'!J26)=3,AVERAGE('Lançamento'!H26:'Lançamento'!J26),NA())</f>
        <v/>
      </c>
      <c r="BG26" s="42">
        <f>IF(COUNT('Lançamento'!I26:'Lançamento'!K26)=3,AVERAGE('Lançamento'!I26:'Lançamento'!K26),NA())</f>
        <v/>
      </c>
      <c r="BH26" s="42">
        <f>IF(COUNT('Lançamento'!J26:'Lançamento'!L26)=3,AVERAGE('Lançamento'!J26:'Lançamento'!L26),NA())</f>
        <v/>
      </c>
      <c r="BI26" s="42">
        <f>IF(COUNT('Lançamento'!K26:'Lançamento'!M26)=3,AVERAGE('Lançamento'!K26:'Lançamento'!M26),NA())</f>
        <v/>
      </c>
      <c r="BJ26" s="42">
        <f>IF('Lançamento'!A26="","",'Lançamento'!A26&amp;"   |   Média YTD: "&amp;IF('Lançamento'!O26="","-",ROUND('Lançamento'!O26*100,1)&amp;"%"))</f>
        <v/>
      </c>
    </row>
    <row r="27">
      <c r="A27" s="42">
        <f>IF('Lançamento'!A27="","",'Lançamento'!A27)</f>
        <v/>
      </c>
      <c r="B27" s="43">
        <f>IF(AND(ISNUMBER('Lançamento'!B27),ROUND('Lançamento'!B27,6)&gt;=ROUND('Lançamento'!$H$3,6)),'Lançamento'!B27,0)</f>
        <v/>
      </c>
      <c r="C27" s="43">
        <f>IF(AND(ISNUMBER('Lançamento'!C27),ROUND('Lançamento'!C27,6)&gt;=ROUND('Lançamento'!$H$3,6)),'Lançamento'!C27,0)</f>
        <v/>
      </c>
      <c r="D27" s="43">
        <f>IF(AND(ISNUMBER('Lançamento'!D27),ROUND('Lançamento'!D27,6)&gt;=ROUND('Lançamento'!$H$3,6)),'Lançamento'!D27,0)</f>
        <v/>
      </c>
      <c r="E27" s="43">
        <f>IF(AND(ISNUMBER('Lançamento'!E27),ROUND('Lançamento'!E27,6)&gt;=ROUND('Lançamento'!$H$3,6)),'Lançamento'!E27,0)</f>
        <v/>
      </c>
      <c r="F27" s="43">
        <f>IF(AND(ISNUMBER('Lançamento'!F27),ROUND('Lançamento'!F27,6)&gt;=ROUND('Lançamento'!$H$3,6)),'Lançamento'!F27,0)</f>
        <v/>
      </c>
      <c r="G27" s="43">
        <f>IF(AND(ISNUMBER('Lançamento'!G27),ROUND('Lançamento'!G27,6)&gt;=ROUND('Lançamento'!$H$3,6)),'Lançamento'!G27,0)</f>
        <v/>
      </c>
      <c r="H27" s="43">
        <f>IF(AND(ISNUMBER('Lançamento'!H27),ROUND('Lançamento'!H27,6)&gt;=ROUND('Lançamento'!$H$3,6)),'Lançamento'!H27,0)</f>
        <v/>
      </c>
      <c r="I27" s="43">
        <f>IF(AND(ISNUMBER('Lançamento'!I27),ROUND('Lançamento'!I27,6)&gt;=ROUND('Lançamento'!$H$3,6)),'Lançamento'!I27,0)</f>
        <v/>
      </c>
      <c r="J27" s="43">
        <f>IF(AND(ISNUMBER('Lançamento'!J27),ROUND('Lançamento'!J27,6)&gt;=ROUND('Lançamento'!$H$3,6)),'Lançamento'!J27,0)</f>
        <v/>
      </c>
      <c r="K27" s="43">
        <f>IF(AND(ISNUMBER('Lançamento'!K27),ROUND('Lançamento'!K27,6)&gt;=ROUND('Lançamento'!$H$3,6)),'Lançamento'!K27,0)</f>
        <v/>
      </c>
      <c r="L27" s="43">
        <f>IF(AND(ISNUMBER('Lançamento'!L27),ROUND('Lançamento'!L27,6)&gt;=ROUND('Lançamento'!$H$3,6)),'Lançamento'!L27,0)</f>
        <v/>
      </c>
      <c r="M27" s="43">
        <f>IF(AND(ISNUMBER('Lançamento'!M27),ROUND('Lançamento'!M27,6)&gt;=ROUND('Lançamento'!$H$3,6)),'Lançamento'!M27,0)</f>
        <v/>
      </c>
      <c r="N27" s="43">
        <f>IF(AND(ISNUMBER('Lançamento'!B27),ROUND('Lançamento'!B27,6)&lt;ROUND('Lançamento'!$H$3,6),ROUND('Lançamento'!B27,6)&gt;=ROUND('Lançamento'!$K$3,6)),'Lançamento'!B27,0)</f>
        <v/>
      </c>
      <c r="O27" s="43">
        <f>IF(AND(ISNUMBER('Lançamento'!C27),ROUND('Lançamento'!C27,6)&lt;ROUND('Lançamento'!$H$3,6),ROUND('Lançamento'!C27,6)&gt;=ROUND('Lançamento'!$K$3,6)),'Lançamento'!C27,0)</f>
        <v/>
      </c>
      <c r="P27" s="43">
        <f>IF(AND(ISNUMBER('Lançamento'!D27),ROUND('Lançamento'!D27,6)&lt;ROUND('Lançamento'!$H$3,6),ROUND('Lançamento'!D27,6)&gt;=ROUND('Lançamento'!$K$3,6)),'Lançamento'!D27,0)</f>
        <v/>
      </c>
      <c r="Q27" s="43">
        <f>IF(AND(ISNUMBER('Lançamento'!E27),ROUND('Lançamento'!E27,6)&lt;ROUND('Lançamento'!$H$3,6),ROUND('Lançamento'!E27,6)&gt;=ROUND('Lançamento'!$K$3,6)),'Lançamento'!E27,0)</f>
        <v/>
      </c>
      <c r="R27" s="43">
        <f>IF(AND(ISNUMBER('Lançamento'!F27),ROUND('Lançamento'!F27,6)&lt;ROUND('Lançamento'!$H$3,6),ROUND('Lançamento'!F27,6)&gt;=ROUND('Lançamento'!$K$3,6)),'Lançamento'!F27,0)</f>
        <v/>
      </c>
      <c r="S27" s="43">
        <f>IF(AND(ISNUMBER('Lançamento'!G27),ROUND('Lançamento'!G27,6)&lt;ROUND('Lançamento'!$H$3,6),ROUND('Lançamento'!G27,6)&gt;=ROUND('Lançamento'!$K$3,6)),'Lançamento'!G27,0)</f>
        <v/>
      </c>
      <c r="T27" s="43">
        <f>IF(AND(ISNUMBER('Lançamento'!H27),ROUND('Lançamento'!H27,6)&lt;ROUND('Lançamento'!$H$3,6),ROUND('Lançamento'!H27,6)&gt;=ROUND('Lançamento'!$K$3,6)),'Lançamento'!H27,0)</f>
        <v/>
      </c>
      <c r="U27" s="43">
        <f>IF(AND(ISNUMBER('Lançamento'!I27),ROUND('Lançamento'!I27,6)&lt;ROUND('Lançamento'!$H$3,6),ROUND('Lançamento'!I27,6)&gt;=ROUND('Lançamento'!$K$3,6)),'Lançamento'!I27,0)</f>
        <v/>
      </c>
      <c r="V27" s="43">
        <f>IF(AND(ISNUMBER('Lançamento'!J27),ROUND('Lançamento'!J27,6)&lt;ROUND('Lançamento'!$H$3,6),ROUND('Lançamento'!J27,6)&gt;=ROUND('Lançamento'!$K$3,6)),'Lançamento'!J27,0)</f>
        <v/>
      </c>
      <c r="W27" s="43">
        <f>IF(AND(ISNUMBER('Lançamento'!K27),ROUND('Lançamento'!K27,6)&lt;ROUND('Lançamento'!$H$3,6),ROUND('Lançamento'!K27,6)&gt;=ROUND('Lançamento'!$K$3,6)),'Lançamento'!K27,0)</f>
        <v/>
      </c>
      <c r="X27" s="43">
        <f>IF(AND(ISNUMBER('Lançamento'!L27),ROUND('Lançamento'!L27,6)&lt;ROUND('Lançamento'!$H$3,6),ROUND('Lançamento'!L27,6)&gt;=ROUND('Lançamento'!$K$3,6)),'Lançamento'!L27,0)</f>
        <v/>
      </c>
      <c r="Y27" s="43">
        <f>IF(AND(ISNUMBER('Lançamento'!M27),ROUND('Lançamento'!M27,6)&lt;ROUND('Lançamento'!$H$3,6),ROUND('Lançamento'!M27,6)&gt;=ROUND('Lançamento'!$K$3,6)),'Lançamento'!M27,0)</f>
        <v/>
      </c>
      <c r="Z27" s="43">
        <f>IF(AND(ISNUMBER('Lançamento'!B27),ROUND('Lançamento'!B27,6)&lt;ROUND('Lançamento'!$K$3,6)),'Lançamento'!B27,0)</f>
        <v/>
      </c>
      <c r="AA27" s="43">
        <f>IF(AND(ISNUMBER('Lançamento'!C27),ROUND('Lançamento'!C27,6)&lt;ROUND('Lançamento'!$K$3,6)),'Lançamento'!C27,0)</f>
        <v/>
      </c>
      <c r="AB27" s="43">
        <f>IF(AND(ISNUMBER('Lançamento'!D27),ROUND('Lançamento'!D27,6)&lt;ROUND('Lançamento'!$K$3,6)),'Lançamento'!D27,0)</f>
        <v/>
      </c>
      <c r="AC27" s="43">
        <f>IF(AND(ISNUMBER('Lançamento'!E27),ROUND('Lançamento'!E27,6)&lt;ROUND('Lançamento'!$K$3,6)),'Lançamento'!E27,0)</f>
        <v/>
      </c>
      <c r="AD27" s="43">
        <f>IF(AND(ISNUMBER('Lançamento'!F27),ROUND('Lançamento'!F27,6)&lt;ROUND('Lançamento'!$K$3,6)),'Lançamento'!F27,0)</f>
        <v/>
      </c>
      <c r="AE27" s="43">
        <f>IF(AND(ISNUMBER('Lançamento'!G27),ROUND('Lançamento'!G27,6)&lt;ROUND('Lançamento'!$K$3,6)),'Lançamento'!G27,0)</f>
        <v/>
      </c>
      <c r="AF27" s="43">
        <f>IF(AND(ISNUMBER('Lançamento'!H27),ROUND('Lançamento'!H27,6)&lt;ROUND('Lançamento'!$K$3,6)),'Lançamento'!H27,0)</f>
        <v/>
      </c>
      <c r="AG27" s="43">
        <f>IF(AND(ISNUMBER('Lançamento'!I27),ROUND('Lançamento'!I27,6)&lt;ROUND('Lançamento'!$K$3,6)),'Lançamento'!I27,0)</f>
        <v/>
      </c>
      <c r="AH27" s="43">
        <f>IF(AND(ISNUMBER('Lançamento'!J27),ROUND('Lançamento'!J27,6)&lt;ROUND('Lançamento'!$K$3,6)),'Lançamento'!J27,0)</f>
        <v/>
      </c>
      <c r="AI27" s="43">
        <f>IF(AND(ISNUMBER('Lançamento'!K27),ROUND('Lançamento'!K27,6)&lt;ROUND('Lançamento'!$K$3,6)),'Lançamento'!K27,0)</f>
        <v/>
      </c>
      <c r="AJ27" s="43">
        <f>IF(AND(ISNUMBER('Lançamento'!L27),ROUND('Lançamento'!L27,6)&lt;ROUND('Lançamento'!$K$3,6)),'Lançamento'!L27,0)</f>
        <v/>
      </c>
      <c r="AK27" s="43">
        <f>IF(AND(ISNUMBER('Lançamento'!M27),ROUND('Lançamento'!M27,6)&lt;ROUND('Lançamento'!$K$3,6)),'Lançamento'!M27,0)</f>
        <v/>
      </c>
      <c r="AL27" s="42">
        <f>IF(ISNUMBER('Lançamento'!$N27),'Lançamento'!$N27,0)</f>
        <v/>
      </c>
      <c r="AM27" s="42">
        <f>IF(ISNUMBER('Lançamento'!$N27),'Lançamento'!$N27,0)</f>
        <v/>
      </c>
      <c r="AN27" s="42">
        <f>IF(ISNUMBER('Lançamento'!$N27),'Lançamento'!$N27,0)</f>
        <v/>
      </c>
      <c r="AO27" s="42">
        <f>IF(ISNUMBER('Lançamento'!$N27),'Lançamento'!$N27,0)</f>
        <v/>
      </c>
      <c r="AP27" s="42">
        <f>IF(ISNUMBER('Lançamento'!$N27),'Lançamento'!$N27,0)</f>
        <v/>
      </c>
      <c r="AQ27" s="42">
        <f>IF(ISNUMBER('Lançamento'!$N27),'Lançamento'!$N27,0)</f>
        <v/>
      </c>
      <c r="AR27" s="42">
        <f>IF(ISNUMBER('Lançamento'!$N27),'Lançamento'!$N27,0)</f>
        <v/>
      </c>
      <c r="AS27" s="42">
        <f>IF(ISNUMBER('Lançamento'!$N27),'Lançamento'!$N27,0)</f>
        <v/>
      </c>
      <c r="AT27" s="42">
        <f>IF(ISNUMBER('Lançamento'!$N27),'Lançamento'!$N27,0)</f>
        <v/>
      </c>
      <c r="AU27" s="42">
        <f>IF(ISNUMBER('Lançamento'!$N27),'Lançamento'!$N27,0)</f>
        <v/>
      </c>
      <c r="AV27" s="42">
        <f>IF(ISNUMBER('Lançamento'!$N27),'Lançamento'!$N27,0)</f>
        <v/>
      </c>
      <c r="AW27" s="42">
        <f>IF(ISNUMBER('Lançamento'!$N27),'Lançamento'!$N27,0)</f>
        <v/>
      </c>
      <c r="AX27" s="42">
        <f>NA()</f>
        <v/>
      </c>
      <c r="AY27" s="42">
        <f>NA()</f>
        <v/>
      </c>
      <c r="AZ27" s="42">
        <f>IF(COUNT('Lançamento'!B27:'Lançamento'!D27)=3,AVERAGE('Lançamento'!B27:'Lançamento'!D27),NA())</f>
        <v/>
      </c>
      <c r="BA27" s="42">
        <f>IF(COUNT('Lançamento'!C27:'Lançamento'!E27)=3,AVERAGE('Lançamento'!C27:'Lançamento'!E27),NA())</f>
        <v/>
      </c>
      <c r="BB27" s="42">
        <f>IF(COUNT('Lançamento'!D27:'Lançamento'!F27)=3,AVERAGE('Lançamento'!D27:'Lançamento'!F27),NA())</f>
        <v/>
      </c>
      <c r="BC27" s="42">
        <f>IF(COUNT('Lançamento'!E27:'Lançamento'!G27)=3,AVERAGE('Lançamento'!E27:'Lançamento'!G27),NA())</f>
        <v/>
      </c>
      <c r="BD27" s="42">
        <f>IF(COUNT('Lançamento'!F27:'Lançamento'!H27)=3,AVERAGE('Lançamento'!F27:'Lançamento'!H27),NA())</f>
        <v/>
      </c>
      <c r="BE27" s="42">
        <f>IF(COUNT('Lançamento'!G27:'Lançamento'!I27)=3,AVERAGE('Lançamento'!G27:'Lançamento'!I27),NA())</f>
        <v/>
      </c>
      <c r="BF27" s="42">
        <f>IF(COUNT('Lançamento'!H27:'Lançamento'!J27)=3,AVERAGE('Lançamento'!H27:'Lançamento'!J27),NA())</f>
        <v/>
      </c>
      <c r="BG27" s="42">
        <f>IF(COUNT('Lançamento'!I27:'Lançamento'!K27)=3,AVERAGE('Lançamento'!I27:'Lançamento'!K27),NA())</f>
        <v/>
      </c>
      <c r="BH27" s="42">
        <f>IF(COUNT('Lançamento'!J27:'Lançamento'!L27)=3,AVERAGE('Lançamento'!J27:'Lançamento'!L27),NA())</f>
        <v/>
      </c>
      <c r="BI27" s="42">
        <f>IF(COUNT('Lançamento'!K27:'Lançamento'!M27)=3,AVERAGE('Lançamento'!K27:'Lançamento'!M27),NA())</f>
        <v/>
      </c>
      <c r="BJ27" s="42">
        <f>IF('Lançamento'!A27="","",'Lançamento'!A27&amp;"   |   Média YTD: "&amp;IF('Lançamento'!O27="","-",ROUND('Lançamento'!O27*100,1)&amp;"%"))</f>
        <v/>
      </c>
    </row>
    <row r="28">
      <c r="A28" s="42">
        <f>IF('Lançamento'!A28="","",'Lançamento'!A28)</f>
        <v/>
      </c>
      <c r="B28" s="43">
        <f>IF(AND(ISNUMBER('Lançamento'!B28),ROUND('Lançamento'!B28,6)&gt;=ROUND('Lançamento'!$H$3,6)),'Lançamento'!B28,0)</f>
        <v/>
      </c>
      <c r="C28" s="43">
        <f>IF(AND(ISNUMBER('Lançamento'!C28),ROUND('Lançamento'!C28,6)&gt;=ROUND('Lançamento'!$H$3,6)),'Lançamento'!C28,0)</f>
        <v/>
      </c>
      <c r="D28" s="43">
        <f>IF(AND(ISNUMBER('Lançamento'!D28),ROUND('Lançamento'!D28,6)&gt;=ROUND('Lançamento'!$H$3,6)),'Lançamento'!D28,0)</f>
        <v/>
      </c>
      <c r="E28" s="43">
        <f>IF(AND(ISNUMBER('Lançamento'!E28),ROUND('Lançamento'!E28,6)&gt;=ROUND('Lançamento'!$H$3,6)),'Lançamento'!E28,0)</f>
        <v/>
      </c>
      <c r="F28" s="43">
        <f>IF(AND(ISNUMBER('Lançamento'!F28),ROUND('Lançamento'!F28,6)&gt;=ROUND('Lançamento'!$H$3,6)),'Lançamento'!F28,0)</f>
        <v/>
      </c>
      <c r="G28" s="43">
        <f>IF(AND(ISNUMBER('Lançamento'!G28),ROUND('Lançamento'!G28,6)&gt;=ROUND('Lançamento'!$H$3,6)),'Lançamento'!G28,0)</f>
        <v/>
      </c>
      <c r="H28" s="43">
        <f>IF(AND(ISNUMBER('Lançamento'!H28),ROUND('Lançamento'!H28,6)&gt;=ROUND('Lançamento'!$H$3,6)),'Lançamento'!H28,0)</f>
        <v/>
      </c>
      <c r="I28" s="43">
        <f>IF(AND(ISNUMBER('Lançamento'!I28),ROUND('Lançamento'!I28,6)&gt;=ROUND('Lançamento'!$H$3,6)),'Lançamento'!I28,0)</f>
        <v/>
      </c>
      <c r="J28" s="43">
        <f>IF(AND(ISNUMBER('Lançamento'!J28),ROUND('Lançamento'!J28,6)&gt;=ROUND('Lançamento'!$H$3,6)),'Lançamento'!J28,0)</f>
        <v/>
      </c>
      <c r="K28" s="43">
        <f>IF(AND(ISNUMBER('Lançamento'!K28),ROUND('Lançamento'!K28,6)&gt;=ROUND('Lançamento'!$H$3,6)),'Lançamento'!K28,0)</f>
        <v/>
      </c>
      <c r="L28" s="43">
        <f>IF(AND(ISNUMBER('Lançamento'!L28),ROUND('Lançamento'!L28,6)&gt;=ROUND('Lançamento'!$H$3,6)),'Lançamento'!L28,0)</f>
        <v/>
      </c>
      <c r="M28" s="43">
        <f>IF(AND(ISNUMBER('Lançamento'!M28),ROUND('Lançamento'!M28,6)&gt;=ROUND('Lançamento'!$H$3,6)),'Lançamento'!M28,0)</f>
        <v/>
      </c>
      <c r="N28" s="43">
        <f>IF(AND(ISNUMBER('Lançamento'!B28),ROUND('Lançamento'!B28,6)&lt;ROUND('Lançamento'!$H$3,6),ROUND('Lançamento'!B28,6)&gt;=ROUND('Lançamento'!$K$3,6)),'Lançamento'!B28,0)</f>
        <v/>
      </c>
      <c r="O28" s="43">
        <f>IF(AND(ISNUMBER('Lançamento'!C28),ROUND('Lançamento'!C28,6)&lt;ROUND('Lançamento'!$H$3,6),ROUND('Lançamento'!C28,6)&gt;=ROUND('Lançamento'!$K$3,6)),'Lançamento'!C28,0)</f>
        <v/>
      </c>
      <c r="P28" s="43">
        <f>IF(AND(ISNUMBER('Lançamento'!D28),ROUND('Lançamento'!D28,6)&lt;ROUND('Lançamento'!$H$3,6),ROUND('Lançamento'!D28,6)&gt;=ROUND('Lançamento'!$K$3,6)),'Lançamento'!D28,0)</f>
        <v/>
      </c>
      <c r="Q28" s="43">
        <f>IF(AND(ISNUMBER('Lançamento'!E28),ROUND('Lançamento'!E28,6)&lt;ROUND('Lançamento'!$H$3,6),ROUND('Lançamento'!E28,6)&gt;=ROUND('Lançamento'!$K$3,6)),'Lançamento'!E28,0)</f>
        <v/>
      </c>
      <c r="R28" s="43">
        <f>IF(AND(ISNUMBER('Lançamento'!F28),ROUND('Lançamento'!F28,6)&lt;ROUND('Lançamento'!$H$3,6),ROUND('Lançamento'!F28,6)&gt;=ROUND('Lançamento'!$K$3,6)),'Lançamento'!F28,0)</f>
        <v/>
      </c>
      <c r="S28" s="43">
        <f>IF(AND(ISNUMBER('Lançamento'!G28),ROUND('Lançamento'!G28,6)&lt;ROUND('Lançamento'!$H$3,6),ROUND('Lançamento'!G28,6)&gt;=ROUND('Lançamento'!$K$3,6)),'Lançamento'!G28,0)</f>
        <v/>
      </c>
      <c r="T28" s="43">
        <f>IF(AND(ISNUMBER('Lançamento'!H28),ROUND('Lançamento'!H28,6)&lt;ROUND('Lançamento'!$H$3,6),ROUND('Lançamento'!H28,6)&gt;=ROUND('Lançamento'!$K$3,6)),'Lançamento'!H28,0)</f>
        <v/>
      </c>
      <c r="U28" s="43">
        <f>IF(AND(ISNUMBER('Lançamento'!I28),ROUND('Lançamento'!I28,6)&lt;ROUND('Lançamento'!$H$3,6),ROUND('Lançamento'!I28,6)&gt;=ROUND('Lançamento'!$K$3,6)),'Lançamento'!I28,0)</f>
        <v/>
      </c>
      <c r="V28" s="43">
        <f>IF(AND(ISNUMBER('Lançamento'!J28),ROUND('Lançamento'!J28,6)&lt;ROUND('Lançamento'!$H$3,6),ROUND('Lançamento'!J28,6)&gt;=ROUND('Lançamento'!$K$3,6)),'Lançamento'!J28,0)</f>
        <v/>
      </c>
      <c r="W28" s="43">
        <f>IF(AND(ISNUMBER('Lançamento'!K28),ROUND('Lançamento'!K28,6)&lt;ROUND('Lançamento'!$H$3,6),ROUND('Lançamento'!K28,6)&gt;=ROUND('Lançamento'!$K$3,6)),'Lançamento'!K28,0)</f>
        <v/>
      </c>
      <c r="X28" s="43">
        <f>IF(AND(ISNUMBER('Lançamento'!L28),ROUND('Lançamento'!L28,6)&lt;ROUND('Lançamento'!$H$3,6),ROUND('Lançamento'!L28,6)&gt;=ROUND('Lançamento'!$K$3,6)),'Lançamento'!L28,0)</f>
        <v/>
      </c>
      <c r="Y28" s="43">
        <f>IF(AND(ISNUMBER('Lançamento'!M28),ROUND('Lançamento'!M28,6)&lt;ROUND('Lançamento'!$H$3,6),ROUND('Lançamento'!M28,6)&gt;=ROUND('Lançamento'!$K$3,6)),'Lançamento'!M28,0)</f>
        <v/>
      </c>
      <c r="Z28" s="43">
        <f>IF(AND(ISNUMBER('Lançamento'!B28),ROUND('Lançamento'!B28,6)&lt;ROUND('Lançamento'!$K$3,6)),'Lançamento'!B28,0)</f>
        <v/>
      </c>
      <c r="AA28" s="43">
        <f>IF(AND(ISNUMBER('Lançamento'!C28),ROUND('Lançamento'!C28,6)&lt;ROUND('Lançamento'!$K$3,6)),'Lançamento'!C28,0)</f>
        <v/>
      </c>
      <c r="AB28" s="43">
        <f>IF(AND(ISNUMBER('Lançamento'!D28),ROUND('Lançamento'!D28,6)&lt;ROUND('Lançamento'!$K$3,6)),'Lançamento'!D28,0)</f>
        <v/>
      </c>
      <c r="AC28" s="43">
        <f>IF(AND(ISNUMBER('Lançamento'!E28),ROUND('Lançamento'!E28,6)&lt;ROUND('Lançamento'!$K$3,6)),'Lançamento'!E28,0)</f>
        <v/>
      </c>
      <c r="AD28" s="43">
        <f>IF(AND(ISNUMBER('Lançamento'!F28),ROUND('Lançamento'!F28,6)&lt;ROUND('Lançamento'!$K$3,6)),'Lançamento'!F28,0)</f>
        <v/>
      </c>
      <c r="AE28" s="43">
        <f>IF(AND(ISNUMBER('Lançamento'!G28),ROUND('Lançamento'!G28,6)&lt;ROUND('Lançamento'!$K$3,6)),'Lançamento'!G28,0)</f>
        <v/>
      </c>
      <c r="AF28" s="43">
        <f>IF(AND(ISNUMBER('Lançamento'!H28),ROUND('Lançamento'!H28,6)&lt;ROUND('Lançamento'!$K$3,6)),'Lançamento'!H28,0)</f>
        <v/>
      </c>
      <c r="AG28" s="43">
        <f>IF(AND(ISNUMBER('Lançamento'!I28),ROUND('Lançamento'!I28,6)&lt;ROUND('Lançamento'!$K$3,6)),'Lançamento'!I28,0)</f>
        <v/>
      </c>
      <c r="AH28" s="43">
        <f>IF(AND(ISNUMBER('Lançamento'!J28),ROUND('Lançamento'!J28,6)&lt;ROUND('Lançamento'!$K$3,6)),'Lançamento'!J28,0)</f>
        <v/>
      </c>
      <c r="AI28" s="43">
        <f>IF(AND(ISNUMBER('Lançamento'!K28),ROUND('Lançamento'!K28,6)&lt;ROUND('Lançamento'!$K$3,6)),'Lançamento'!K28,0)</f>
        <v/>
      </c>
      <c r="AJ28" s="43">
        <f>IF(AND(ISNUMBER('Lançamento'!L28),ROUND('Lançamento'!L28,6)&lt;ROUND('Lançamento'!$K$3,6)),'Lançamento'!L28,0)</f>
        <v/>
      </c>
      <c r="AK28" s="43">
        <f>IF(AND(ISNUMBER('Lançamento'!M28),ROUND('Lançamento'!M28,6)&lt;ROUND('Lançamento'!$K$3,6)),'Lançamento'!M28,0)</f>
        <v/>
      </c>
      <c r="AL28" s="42">
        <f>IF(ISNUMBER('Lançamento'!$N28),'Lançamento'!$N28,0)</f>
        <v/>
      </c>
      <c r="AM28" s="42">
        <f>IF(ISNUMBER('Lançamento'!$N28),'Lançamento'!$N28,0)</f>
        <v/>
      </c>
      <c r="AN28" s="42">
        <f>IF(ISNUMBER('Lançamento'!$N28),'Lançamento'!$N28,0)</f>
        <v/>
      </c>
      <c r="AO28" s="42">
        <f>IF(ISNUMBER('Lançamento'!$N28),'Lançamento'!$N28,0)</f>
        <v/>
      </c>
      <c r="AP28" s="42">
        <f>IF(ISNUMBER('Lançamento'!$N28),'Lançamento'!$N28,0)</f>
        <v/>
      </c>
      <c r="AQ28" s="42">
        <f>IF(ISNUMBER('Lançamento'!$N28),'Lançamento'!$N28,0)</f>
        <v/>
      </c>
      <c r="AR28" s="42">
        <f>IF(ISNUMBER('Lançamento'!$N28),'Lançamento'!$N28,0)</f>
        <v/>
      </c>
      <c r="AS28" s="42">
        <f>IF(ISNUMBER('Lançamento'!$N28),'Lançamento'!$N28,0)</f>
        <v/>
      </c>
      <c r="AT28" s="42">
        <f>IF(ISNUMBER('Lançamento'!$N28),'Lançamento'!$N28,0)</f>
        <v/>
      </c>
      <c r="AU28" s="42">
        <f>IF(ISNUMBER('Lançamento'!$N28),'Lançamento'!$N28,0)</f>
        <v/>
      </c>
      <c r="AV28" s="42">
        <f>IF(ISNUMBER('Lançamento'!$N28),'Lançamento'!$N28,0)</f>
        <v/>
      </c>
      <c r="AW28" s="42">
        <f>IF(ISNUMBER('Lançamento'!$N28),'Lançamento'!$N28,0)</f>
        <v/>
      </c>
      <c r="AX28" s="42">
        <f>NA()</f>
        <v/>
      </c>
      <c r="AY28" s="42">
        <f>NA()</f>
        <v/>
      </c>
      <c r="AZ28" s="42">
        <f>IF(COUNT('Lançamento'!B28:'Lançamento'!D28)=3,AVERAGE('Lançamento'!B28:'Lançamento'!D28),NA())</f>
        <v/>
      </c>
      <c r="BA28" s="42">
        <f>IF(COUNT('Lançamento'!C28:'Lançamento'!E28)=3,AVERAGE('Lançamento'!C28:'Lançamento'!E28),NA())</f>
        <v/>
      </c>
      <c r="BB28" s="42">
        <f>IF(COUNT('Lançamento'!D28:'Lançamento'!F28)=3,AVERAGE('Lançamento'!D28:'Lançamento'!F28),NA())</f>
        <v/>
      </c>
      <c r="BC28" s="42">
        <f>IF(COUNT('Lançamento'!E28:'Lançamento'!G28)=3,AVERAGE('Lançamento'!E28:'Lançamento'!G28),NA())</f>
        <v/>
      </c>
      <c r="BD28" s="42">
        <f>IF(COUNT('Lançamento'!F28:'Lançamento'!H28)=3,AVERAGE('Lançamento'!F28:'Lançamento'!H28),NA())</f>
        <v/>
      </c>
      <c r="BE28" s="42">
        <f>IF(COUNT('Lançamento'!G28:'Lançamento'!I28)=3,AVERAGE('Lançamento'!G28:'Lançamento'!I28),NA())</f>
        <v/>
      </c>
      <c r="BF28" s="42">
        <f>IF(COUNT('Lançamento'!H28:'Lançamento'!J28)=3,AVERAGE('Lançamento'!H28:'Lançamento'!J28),NA())</f>
        <v/>
      </c>
      <c r="BG28" s="42">
        <f>IF(COUNT('Lançamento'!I28:'Lançamento'!K28)=3,AVERAGE('Lançamento'!I28:'Lançamento'!K28),NA())</f>
        <v/>
      </c>
      <c r="BH28" s="42">
        <f>IF(COUNT('Lançamento'!J28:'Lançamento'!L28)=3,AVERAGE('Lançamento'!J28:'Lançamento'!L28),NA())</f>
        <v/>
      </c>
      <c r="BI28" s="42">
        <f>IF(COUNT('Lançamento'!K28:'Lançamento'!M28)=3,AVERAGE('Lançamento'!K28:'Lançamento'!M28),NA())</f>
        <v/>
      </c>
      <c r="BJ28" s="42">
        <f>IF('Lançamento'!A28="","",'Lançamento'!A28&amp;"   |   Média YTD: "&amp;IF('Lançamento'!O28="","-",ROUND('Lançamento'!O28*100,1)&amp;"%"))</f>
        <v/>
      </c>
    </row>
    <row r="29">
      <c r="A29" s="42">
        <f>IF('Lançamento'!A29="","",'Lançamento'!A29)</f>
        <v/>
      </c>
      <c r="B29" s="43">
        <f>IF(AND(ISNUMBER('Lançamento'!B29),ROUND('Lançamento'!B29,6)&gt;=ROUND('Lançamento'!$H$3,6)),'Lançamento'!B29,0)</f>
        <v/>
      </c>
      <c r="C29" s="43">
        <f>IF(AND(ISNUMBER('Lançamento'!C29),ROUND('Lançamento'!C29,6)&gt;=ROUND('Lançamento'!$H$3,6)),'Lançamento'!C29,0)</f>
        <v/>
      </c>
      <c r="D29" s="43">
        <f>IF(AND(ISNUMBER('Lançamento'!D29),ROUND('Lançamento'!D29,6)&gt;=ROUND('Lançamento'!$H$3,6)),'Lançamento'!D29,0)</f>
        <v/>
      </c>
      <c r="E29" s="43">
        <f>IF(AND(ISNUMBER('Lançamento'!E29),ROUND('Lançamento'!E29,6)&gt;=ROUND('Lançamento'!$H$3,6)),'Lançamento'!E29,0)</f>
        <v/>
      </c>
      <c r="F29" s="43">
        <f>IF(AND(ISNUMBER('Lançamento'!F29),ROUND('Lançamento'!F29,6)&gt;=ROUND('Lançamento'!$H$3,6)),'Lançamento'!F29,0)</f>
        <v/>
      </c>
      <c r="G29" s="43">
        <f>IF(AND(ISNUMBER('Lançamento'!G29),ROUND('Lançamento'!G29,6)&gt;=ROUND('Lançamento'!$H$3,6)),'Lançamento'!G29,0)</f>
        <v/>
      </c>
      <c r="H29" s="43">
        <f>IF(AND(ISNUMBER('Lançamento'!H29),ROUND('Lançamento'!H29,6)&gt;=ROUND('Lançamento'!$H$3,6)),'Lançamento'!H29,0)</f>
        <v/>
      </c>
      <c r="I29" s="43">
        <f>IF(AND(ISNUMBER('Lançamento'!I29),ROUND('Lançamento'!I29,6)&gt;=ROUND('Lançamento'!$H$3,6)),'Lançamento'!I29,0)</f>
        <v/>
      </c>
      <c r="J29" s="43">
        <f>IF(AND(ISNUMBER('Lançamento'!J29),ROUND('Lançamento'!J29,6)&gt;=ROUND('Lançamento'!$H$3,6)),'Lançamento'!J29,0)</f>
        <v/>
      </c>
      <c r="K29" s="43">
        <f>IF(AND(ISNUMBER('Lançamento'!K29),ROUND('Lançamento'!K29,6)&gt;=ROUND('Lançamento'!$H$3,6)),'Lançamento'!K29,0)</f>
        <v/>
      </c>
      <c r="L29" s="43">
        <f>IF(AND(ISNUMBER('Lançamento'!L29),ROUND('Lançamento'!L29,6)&gt;=ROUND('Lançamento'!$H$3,6)),'Lançamento'!L29,0)</f>
        <v/>
      </c>
      <c r="M29" s="43">
        <f>IF(AND(ISNUMBER('Lançamento'!M29),ROUND('Lançamento'!M29,6)&gt;=ROUND('Lançamento'!$H$3,6)),'Lançamento'!M29,0)</f>
        <v/>
      </c>
      <c r="N29" s="43">
        <f>IF(AND(ISNUMBER('Lançamento'!B29),ROUND('Lançamento'!B29,6)&lt;ROUND('Lançamento'!$H$3,6),ROUND('Lançamento'!B29,6)&gt;=ROUND('Lançamento'!$K$3,6)),'Lançamento'!B29,0)</f>
        <v/>
      </c>
      <c r="O29" s="43">
        <f>IF(AND(ISNUMBER('Lançamento'!C29),ROUND('Lançamento'!C29,6)&lt;ROUND('Lançamento'!$H$3,6),ROUND('Lançamento'!C29,6)&gt;=ROUND('Lançamento'!$K$3,6)),'Lançamento'!C29,0)</f>
        <v/>
      </c>
      <c r="P29" s="43">
        <f>IF(AND(ISNUMBER('Lançamento'!D29),ROUND('Lançamento'!D29,6)&lt;ROUND('Lançamento'!$H$3,6),ROUND('Lançamento'!D29,6)&gt;=ROUND('Lançamento'!$K$3,6)),'Lançamento'!D29,0)</f>
        <v/>
      </c>
      <c r="Q29" s="43">
        <f>IF(AND(ISNUMBER('Lançamento'!E29),ROUND('Lançamento'!E29,6)&lt;ROUND('Lançamento'!$H$3,6),ROUND('Lançamento'!E29,6)&gt;=ROUND('Lançamento'!$K$3,6)),'Lançamento'!E29,0)</f>
        <v/>
      </c>
      <c r="R29" s="43">
        <f>IF(AND(ISNUMBER('Lançamento'!F29),ROUND('Lançamento'!F29,6)&lt;ROUND('Lançamento'!$H$3,6),ROUND('Lançamento'!F29,6)&gt;=ROUND('Lançamento'!$K$3,6)),'Lançamento'!F29,0)</f>
        <v/>
      </c>
      <c r="S29" s="43">
        <f>IF(AND(ISNUMBER('Lançamento'!G29),ROUND('Lançamento'!G29,6)&lt;ROUND('Lançamento'!$H$3,6),ROUND('Lançamento'!G29,6)&gt;=ROUND('Lançamento'!$K$3,6)),'Lançamento'!G29,0)</f>
        <v/>
      </c>
      <c r="T29" s="43">
        <f>IF(AND(ISNUMBER('Lançamento'!H29),ROUND('Lançamento'!H29,6)&lt;ROUND('Lançamento'!$H$3,6),ROUND('Lançamento'!H29,6)&gt;=ROUND('Lançamento'!$K$3,6)),'Lançamento'!H29,0)</f>
        <v/>
      </c>
      <c r="U29" s="43">
        <f>IF(AND(ISNUMBER('Lançamento'!I29),ROUND('Lançamento'!I29,6)&lt;ROUND('Lançamento'!$H$3,6),ROUND('Lançamento'!I29,6)&gt;=ROUND('Lançamento'!$K$3,6)),'Lançamento'!I29,0)</f>
        <v/>
      </c>
      <c r="V29" s="43">
        <f>IF(AND(ISNUMBER('Lançamento'!J29),ROUND('Lançamento'!J29,6)&lt;ROUND('Lançamento'!$H$3,6),ROUND('Lançamento'!J29,6)&gt;=ROUND('Lançamento'!$K$3,6)),'Lançamento'!J29,0)</f>
        <v/>
      </c>
      <c r="W29" s="43">
        <f>IF(AND(ISNUMBER('Lançamento'!K29),ROUND('Lançamento'!K29,6)&lt;ROUND('Lançamento'!$H$3,6),ROUND('Lançamento'!K29,6)&gt;=ROUND('Lançamento'!$K$3,6)),'Lançamento'!K29,0)</f>
        <v/>
      </c>
      <c r="X29" s="43">
        <f>IF(AND(ISNUMBER('Lançamento'!L29),ROUND('Lançamento'!L29,6)&lt;ROUND('Lançamento'!$H$3,6),ROUND('Lançamento'!L29,6)&gt;=ROUND('Lançamento'!$K$3,6)),'Lançamento'!L29,0)</f>
        <v/>
      </c>
      <c r="Y29" s="43">
        <f>IF(AND(ISNUMBER('Lançamento'!M29),ROUND('Lançamento'!M29,6)&lt;ROUND('Lançamento'!$H$3,6),ROUND('Lançamento'!M29,6)&gt;=ROUND('Lançamento'!$K$3,6)),'Lançamento'!M29,0)</f>
        <v/>
      </c>
      <c r="Z29" s="43">
        <f>IF(AND(ISNUMBER('Lançamento'!B29),ROUND('Lançamento'!B29,6)&lt;ROUND('Lançamento'!$K$3,6)),'Lançamento'!B29,0)</f>
        <v/>
      </c>
      <c r="AA29" s="43">
        <f>IF(AND(ISNUMBER('Lançamento'!C29),ROUND('Lançamento'!C29,6)&lt;ROUND('Lançamento'!$K$3,6)),'Lançamento'!C29,0)</f>
        <v/>
      </c>
      <c r="AB29" s="43">
        <f>IF(AND(ISNUMBER('Lançamento'!D29),ROUND('Lançamento'!D29,6)&lt;ROUND('Lançamento'!$K$3,6)),'Lançamento'!D29,0)</f>
        <v/>
      </c>
      <c r="AC29" s="43">
        <f>IF(AND(ISNUMBER('Lançamento'!E29),ROUND('Lançamento'!E29,6)&lt;ROUND('Lançamento'!$K$3,6)),'Lançamento'!E29,0)</f>
        <v/>
      </c>
      <c r="AD29" s="43">
        <f>IF(AND(ISNUMBER('Lançamento'!F29),ROUND('Lançamento'!F29,6)&lt;ROUND('Lançamento'!$K$3,6)),'Lançamento'!F29,0)</f>
        <v/>
      </c>
      <c r="AE29" s="43">
        <f>IF(AND(ISNUMBER('Lançamento'!G29),ROUND('Lançamento'!G29,6)&lt;ROUND('Lançamento'!$K$3,6)),'Lançamento'!G29,0)</f>
        <v/>
      </c>
      <c r="AF29" s="43">
        <f>IF(AND(ISNUMBER('Lançamento'!H29),ROUND('Lançamento'!H29,6)&lt;ROUND('Lançamento'!$K$3,6)),'Lançamento'!H29,0)</f>
        <v/>
      </c>
      <c r="AG29" s="43">
        <f>IF(AND(ISNUMBER('Lançamento'!I29),ROUND('Lançamento'!I29,6)&lt;ROUND('Lançamento'!$K$3,6)),'Lançamento'!I29,0)</f>
        <v/>
      </c>
      <c r="AH29" s="43">
        <f>IF(AND(ISNUMBER('Lançamento'!J29),ROUND('Lançamento'!J29,6)&lt;ROUND('Lançamento'!$K$3,6)),'Lançamento'!J29,0)</f>
        <v/>
      </c>
      <c r="AI29" s="43">
        <f>IF(AND(ISNUMBER('Lançamento'!K29),ROUND('Lançamento'!K29,6)&lt;ROUND('Lançamento'!$K$3,6)),'Lançamento'!K29,0)</f>
        <v/>
      </c>
      <c r="AJ29" s="43">
        <f>IF(AND(ISNUMBER('Lançamento'!L29),ROUND('Lançamento'!L29,6)&lt;ROUND('Lançamento'!$K$3,6)),'Lançamento'!L29,0)</f>
        <v/>
      </c>
      <c r="AK29" s="43">
        <f>IF(AND(ISNUMBER('Lançamento'!M29),ROUND('Lançamento'!M29,6)&lt;ROUND('Lançamento'!$K$3,6)),'Lançamento'!M29,0)</f>
        <v/>
      </c>
      <c r="AL29" s="42">
        <f>IF(ISNUMBER('Lançamento'!$N29),'Lançamento'!$N29,0)</f>
        <v/>
      </c>
      <c r="AM29" s="42">
        <f>IF(ISNUMBER('Lançamento'!$N29),'Lançamento'!$N29,0)</f>
        <v/>
      </c>
      <c r="AN29" s="42">
        <f>IF(ISNUMBER('Lançamento'!$N29),'Lançamento'!$N29,0)</f>
        <v/>
      </c>
      <c r="AO29" s="42">
        <f>IF(ISNUMBER('Lançamento'!$N29),'Lançamento'!$N29,0)</f>
        <v/>
      </c>
      <c r="AP29" s="42">
        <f>IF(ISNUMBER('Lançamento'!$N29),'Lançamento'!$N29,0)</f>
        <v/>
      </c>
      <c r="AQ29" s="42">
        <f>IF(ISNUMBER('Lançamento'!$N29),'Lançamento'!$N29,0)</f>
        <v/>
      </c>
      <c r="AR29" s="42">
        <f>IF(ISNUMBER('Lançamento'!$N29),'Lançamento'!$N29,0)</f>
        <v/>
      </c>
      <c r="AS29" s="42">
        <f>IF(ISNUMBER('Lançamento'!$N29),'Lançamento'!$N29,0)</f>
        <v/>
      </c>
      <c r="AT29" s="42">
        <f>IF(ISNUMBER('Lançamento'!$N29),'Lançamento'!$N29,0)</f>
        <v/>
      </c>
      <c r="AU29" s="42">
        <f>IF(ISNUMBER('Lançamento'!$N29),'Lançamento'!$N29,0)</f>
        <v/>
      </c>
      <c r="AV29" s="42">
        <f>IF(ISNUMBER('Lançamento'!$N29),'Lançamento'!$N29,0)</f>
        <v/>
      </c>
      <c r="AW29" s="42">
        <f>IF(ISNUMBER('Lançamento'!$N29),'Lançamento'!$N29,0)</f>
        <v/>
      </c>
      <c r="AX29" s="42">
        <f>NA()</f>
        <v/>
      </c>
      <c r="AY29" s="42">
        <f>NA()</f>
        <v/>
      </c>
      <c r="AZ29" s="42">
        <f>IF(COUNT('Lançamento'!B29:'Lançamento'!D29)=3,AVERAGE('Lançamento'!B29:'Lançamento'!D29),NA())</f>
        <v/>
      </c>
      <c r="BA29" s="42">
        <f>IF(COUNT('Lançamento'!C29:'Lançamento'!E29)=3,AVERAGE('Lançamento'!C29:'Lançamento'!E29),NA())</f>
        <v/>
      </c>
      <c r="BB29" s="42">
        <f>IF(COUNT('Lançamento'!D29:'Lançamento'!F29)=3,AVERAGE('Lançamento'!D29:'Lançamento'!F29),NA())</f>
        <v/>
      </c>
      <c r="BC29" s="42">
        <f>IF(COUNT('Lançamento'!E29:'Lançamento'!G29)=3,AVERAGE('Lançamento'!E29:'Lançamento'!G29),NA())</f>
        <v/>
      </c>
      <c r="BD29" s="42">
        <f>IF(COUNT('Lançamento'!F29:'Lançamento'!H29)=3,AVERAGE('Lançamento'!F29:'Lançamento'!H29),NA())</f>
        <v/>
      </c>
      <c r="BE29" s="42">
        <f>IF(COUNT('Lançamento'!G29:'Lançamento'!I29)=3,AVERAGE('Lançamento'!G29:'Lançamento'!I29),NA())</f>
        <v/>
      </c>
      <c r="BF29" s="42">
        <f>IF(COUNT('Lançamento'!H29:'Lançamento'!J29)=3,AVERAGE('Lançamento'!H29:'Lançamento'!J29),NA())</f>
        <v/>
      </c>
      <c r="BG29" s="42">
        <f>IF(COUNT('Lançamento'!I29:'Lançamento'!K29)=3,AVERAGE('Lançamento'!I29:'Lançamento'!K29),NA())</f>
        <v/>
      </c>
      <c r="BH29" s="42">
        <f>IF(COUNT('Lançamento'!J29:'Lançamento'!L29)=3,AVERAGE('Lançamento'!J29:'Lançamento'!L29),NA())</f>
        <v/>
      </c>
      <c r="BI29" s="42">
        <f>IF(COUNT('Lançamento'!K29:'Lançamento'!M29)=3,AVERAGE('Lançamento'!K29:'Lançamento'!M29),NA())</f>
        <v/>
      </c>
      <c r="BJ29" s="42">
        <f>IF('Lançamento'!A29="","",'Lançamento'!A29&amp;"   |   Média YTD: "&amp;IF('Lançamento'!O29="","-",ROUND('Lançamento'!O29*100,1)&amp;"%"))</f>
        <v/>
      </c>
    </row>
    <row r="30">
      <c r="A30" s="42">
        <f>IF('Lançamento'!A30="","",'Lançamento'!A30)</f>
        <v/>
      </c>
      <c r="B30" s="43">
        <f>IF(AND(ISNUMBER('Lançamento'!B30),ROUND('Lançamento'!B30,6)&gt;=ROUND('Lançamento'!$H$3,6)),'Lançamento'!B30,0)</f>
        <v/>
      </c>
      <c r="C30" s="43">
        <f>IF(AND(ISNUMBER('Lançamento'!C30),ROUND('Lançamento'!C30,6)&gt;=ROUND('Lançamento'!$H$3,6)),'Lançamento'!C30,0)</f>
        <v/>
      </c>
      <c r="D30" s="43">
        <f>IF(AND(ISNUMBER('Lançamento'!D30),ROUND('Lançamento'!D30,6)&gt;=ROUND('Lançamento'!$H$3,6)),'Lançamento'!D30,0)</f>
        <v/>
      </c>
      <c r="E30" s="43">
        <f>IF(AND(ISNUMBER('Lançamento'!E30),ROUND('Lançamento'!E30,6)&gt;=ROUND('Lançamento'!$H$3,6)),'Lançamento'!E30,0)</f>
        <v/>
      </c>
      <c r="F30" s="43">
        <f>IF(AND(ISNUMBER('Lançamento'!F30),ROUND('Lançamento'!F30,6)&gt;=ROUND('Lançamento'!$H$3,6)),'Lançamento'!F30,0)</f>
        <v/>
      </c>
      <c r="G30" s="43">
        <f>IF(AND(ISNUMBER('Lançamento'!G30),ROUND('Lançamento'!G30,6)&gt;=ROUND('Lançamento'!$H$3,6)),'Lançamento'!G30,0)</f>
        <v/>
      </c>
      <c r="H30" s="43">
        <f>IF(AND(ISNUMBER('Lançamento'!H30),ROUND('Lançamento'!H30,6)&gt;=ROUND('Lançamento'!$H$3,6)),'Lançamento'!H30,0)</f>
        <v/>
      </c>
      <c r="I30" s="43">
        <f>IF(AND(ISNUMBER('Lançamento'!I30),ROUND('Lançamento'!I30,6)&gt;=ROUND('Lançamento'!$H$3,6)),'Lançamento'!I30,0)</f>
        <v/>
      </c>
      <c r="J30" s="43">
        <f>IF(AND(ISNUMBER('Lançamento'!J30),ROUND('Lançamento'!J30,6)&gt;=ROUND('Lançamento'!$H$3,6)),'Lançamento'!J30,0)</f>
        <v/>
      </c>
      <c r="K30" s="43">
        <f>IF(AND(ISNUMBER('Lançamento'!K30),ROUND('Lançamento'!K30,6)&gt;=ROUND('Lançamento'!$H$3,6)),'Lançamento'!K30,0)</f>
        <v/>
      </c>
      <c r="L30" s="43">
        <f>IF(AND(ISNUMBER('Lançamento'!L30),ROUND('Lançamento'!L30,6)&gt;=ROUND('Lançamento'!$H$3,6)),'Lançamento'!L30,0)</f>
        <v/>
      </c>
      <c r="M30" s="43">
        <f>IF(AND(ISNUMBER('Lançamento'!M30),ROUND('Lançamento'!M30,6)&gt;=ROUND('Lançamento'!$H$3,6)),'Lançamento'!M30,0)</f>
        <v/>
      </c>
      <c r="N30" s="43">
        <f>IF(AND(ISNUMBER('Lançamento'!B30),ROUND('Lançamento'!B30,6)&lt;ROUND('Lançamento'!$H$3,6),ROUND('Lançamento'!B30,6)&gt;=ROUND('Lançamento'!$K$3,6)),'Lançamento'!B30,0)</f>
        <v/>
      </c>
      <c r="O30" s="43">
        <f>IF(AND(ISNUMBER('Lançamento'!C30),ROUND('Lançamento'!C30,6)&lt;ROUND('Lançamento'!$H$3,6),ROUND('Lançamento'!C30,6)&gt;=ROUND('Lançamento'!$K$3,6)),'Lançamento'!C30,0)</f>
        <v/>
      </c>
      <c r="P30" s="43">
        <f>IF(AND(ISNUMBER('Lançamento'!D30),ROUND('Lançamento'!D30,6)&lt;ROUND('Lançamento'!$H$3,6),ROUND('Lançamento'!D30,6)&gt;=ROUND('Lançamento'!$K$3,6)),'Lançamento'!D30,0)</f>
        <v/>
      </c>
      <c r="Q30" s="43">
        <f>IF(AND(ISNUMBER('Lançamento'!E30),ROUND('Lançamento'!E30,6)&lt;ROUND('Lançamento'!$H$3,6),ROUND('Lançamento'!E30,6)&gt;=ROUND('Lançamento'!$K$3,6)),'Lançamento'!E30,0)</f>
        <v/>
      </c>
      <c r="R30" s="43">
        <f>IF(AND(ISNUMBER('Lançamento'!F30),ROUND('Lançamento'!F30,6)&lt;ROUND('Lançamento'!$H$3,6),ROUND('Lançamento'!F30,6)&gt;=ROUND('Lançamento'!$K$3,6)),'Lançamento'!F30,0)</f>
        <v/>
      </c>
      <c r="S30" s="43">
        <f>IF(AND(ISNUMBER('Lançamento'!G30),ROUND('Lançamento'!G30,6)&lt;ROUND('Lançamento'!$H$3,6),ROUND('Lançamento'!G30,6)&gt;=ROUND('Lançamento'!$K$3,6)),'Lançamento'!G30,0)</f>
        <v/>
      </c>
      <c r="T30" s="43">
        <f>IF(AND(ISNUMBER('Lançamento'!H30),ROUND('Lançamento'!H30,6)&lt;ROUND('Lançamento'!$H$3,6),ROUND('Lançamento'!H30,6)&gt;=ROUND('Lançamento'!$K$3,6)),'Lançamento'!H30,0)</f>
        <v/>
      </c>
      <c r="U30" s="43">
        <f>IF(AND(ISNUMBER('Lançamento'!I30),ROUND('Lançamento'!I30,6)&lt;ROUND('Lançamento'!$H$3,6),ROUND('Lançamento'!I30,6)&gt;=ROUND('Lançamento'!$K$3,6)),'Lançamento'!I30,0)</f>
        <v/>
      </c>
      <c r="V30" s="43">
        <f>IF(AND(ISNUMBER('Lançamento'!J30),ROUND('Lançamento'!J30,6)&lt;ROUND('Lançamento'!$H$3,6),ROUND('Lançamento'!J30,6)&gt;=ROUND('Lançamento'!$K$3,6)),'Lançamento'!J30,0)</f>
        <v/>
      </c>
      <c r="W30" s="43">
        <f>IF(AND(ISNUMBER('Lançamento'!K30),ROUND('Lançamento'!K30,6)&lt;ROUND('Lançamento'!$H$3,6),ROUND('Lançamento'!K30,6)&gt;=ROUND('Lançamento'!$K$3,6)),'Lançamento'!K30,0)</f>
        <v/>
      </c>
      <c r="X30" s="43">
        <f>IF(AND(ISNUMBER('Lançamento'!L30),ROUND('Lançamento'!L30,6)&lt;ROUND('Lançamento'!$H$3,6),ROUND('Lançamento'!L30,6)&gt;=ROUND('Lançamento'!$K$3,6)),'Lançamento'!L30,0)</f>
        <v/>
      </c>
      <c r="Y30" s="43">
        <f>IF(AND(ISNUMBER('Lançamento'!M30),ROUND('Lançamento'!M30,6)&lt;ROUND('Lançamento'!$H$3,6),ROUND('Lançamento'!M30,6)&gt;=ROUND('Lançamento'!$K$3,6)),'Lançamento'!M30,0)</f>
        <v/>
      </c>
      <c r="Z30" s="43">
        <f>IF(AND(ISNUMBER('Lançamento'!B30),ROUND('Lançamento'!B30,6)&lt;ROUND('Lançamento'!$K$3,6)),'Lançamento'!B30,0)</f>
        <v/>
      </c>
      <c r="AA30" s="43">
        <f>IF(AND(ISNUMBER('Lançamento'!C30),ROUND('Lançamento'!C30,6)&lt;ROUND('Lançamento'!$K$3,6)),'Lançamento'!C30,0)</f>
        <v/>
      </c>
      <c r="AB30" s="43">
        <f>IF(AND(ISNUMBER('Lançamento'!D30),ROUND('Lançamento'!D30,6)&lt;ROUND('Lançamento'!$K$3,6)),'Lançamento'!D30,0)</f>
        <v/>
      </c>
      <c r="AC30" s="43">
        <f>IF(AND(ISNUMBER('Lançamento'!E30),ROUND('Lançamento'!E30,6)&lt;ROUND('Lançamento'!$K$3,6)),'Lançamento'!E30,0)</f>
        <v/>
      </c>
      <c r="AD30" s="43">
        <f>IF(AND(ISNUMBER('Lançamento'!F30),ROUND('Lançamento'!F30,6)&lt;ROUND('Lançamento'!$K$3,6)),'Lançamento'!F30,0)</f>
        <v/>
      </c>
      <c r="AE30" s="43">
        <f>IF(AND(ISNUMBER('Lançamento'!G30),ROUND('Lançamento'!G30,6)&lt;ROUND('Lançamento'!$K$3,6)),'Lançamento'!G30,0)</f>
        <v/>
      </c>
      <c r="AF30" s="43">
        <f>IF(AND(ISNUMBER('Lançamento'!H30),ROUND('Lançamento'!H30,6)&lt;ROUND('Lançamento'!$K$3,6)),'Lançamento'!H30,0)</f>
        <v/>
      </c>
      <c r="AG30" s="43">
        <f>IF(AND(ISNUMBER('Lançamento'!I30),ROUND('Lançamento'!I30,6)&lt;ROUND('Lançamento'!$K$3,6)),'Lançamento'!I30,0)</f>
        <v/>
      </c>
      <c r="AH30" s="43">
        <f>IF(AND(ISNUMBER('Lançamento'!J30),ROUND('Lançamento'!J30,6)&lt;ROUND('Lançamento'!$K$3,6)),'Lançamento'!J30,0)</f>
        <v/>
      </c>
      <c r="AI30" s="43">
        <f>IF(AND(ISNUMBER('Lançamento'!K30),ROUND('Lançamento'!K30,6)&lt;ROUND('Lançamento'!$K$3,6)),'Lançamento'!K30,0)</f>
        <v/>
      </c>
      <c r="AJ30" s="43">
        <f>IF(AND(ISNUMBER('Lançamento'!L30),ROUND('Lançamento'!L30,6)&lt;ROUND('Lançamento'!$K$3,6)),'Lançamento'!L30,0)</f>
        <v/>
      </c>
      <c r="AK30" s="43">
        <f>IF(AND(ISNUMBER('Lançamento'!M30),ROUND('Lançamento'!M30,6)&lt;ROUND('Lançamento'!$K$3,6)),'Lançamento'!M30,0)</f>
        <v/>
      </c>
      <c r="AL30" s="42">
        <f>IF(ISNUMBER('Lançamento'!$N30),'Lançamento'!$N30,0)</f>
        <v/>
      </c>
      <c r="AM30" s="42">
        <f>IF(ISNUMBER('Lançamento'!$N30),'Lançamento'!$N30,0)</f>
        <v/>
      </c>
      <c r="AN30" s="42">
        <f>IF(ISNUMBER('Lançamento'!$N30),'Lançamento'!$N30,0)</f>
        <v/>
      </c>
      <c r="AO30" s="42">
        <f>IF(ISNUMBER('Lançamento'!$N30),'Lançamento'!$N30,0)</f>
        <v/>
      </c>
      <c r="AP30" s="42">
        <f>IF(ISNUMBER('Lançamento'!$N30),'Lançamento'!$N30,0)</f>
        <v/>
      </c>
      <c r="AQ30" s="42">
        <f>IF(ISNUMBER('Lançamento'!$N30),'Lançamento'!$N30,0)</f>
        <v/>
      </c>
      <c r="AR30" s="42">
        <f>IF(ISNUMBER('Lançamento'!$N30),'Lançamento'!$N30,0)</f>
        <v/>
      </c>
      <c r="AS30" s="42">
        <f>IF(ISNUMBER('Lançamento'!$N30),'Lançamento'!$N30,0)</f>
        <v/>
      </c>
      <c r="AT30" s="42">
        <f>IF(ISNUMBER('Lançamento'!$N30),'Lançamento'!$N30,0)</f>
        <v/>
      </c>
      <c r="AU30" s="42">
        <f>IF(ISNUMBER('Lançamento'!$N30),'Lançamento'!$N30,0)</f>
        <v/>
      </c>
      <c r="AV30" s="42">
        <f>IF(ISNUMBER('Lançamento'!$N30),'Lançamento'!$N30,0)</f>
        <v/>
      </c>
      <c r="AW30" s="42">
        <f>IF(ISNUMBER('Lançamento'!$N30),'Lançamento'!$N30,0)</f>
        <v/>
      </c>
      <c r="AX30" s="42">
        <f>NA()</f>
        <v/>
      </c>
      <c r="AY30" s="42">
        <f>NA()</f>
        <v/>
      </c>
      <c r="AZ30" s="42">
        <f>IF(COUNT('Lançamento'!B30:'Lançamento'!D30)=3,AVERAGE('Lançamento'!B30:'Lançamento'!D30),NA())</f>
        <v/>
      </c>
      <c r="BA30" s="42">
        <f>IF(COUNT('Lançamento'!C30:'Lançamento'!E30)=3,AVERAGE('Lançamento'!C30:'Lançamento'!E30),NA())</f>
        <v/>
      </c>
      <c r="BB30" s="42">
        <f>IF(COUNT('Lançamento'!D30:'Lançamento'!F30)=3,AVERAGE('Lançamento'!D30:'Lançamento'!F30),NA())</f>
        <v/>
      </c>
      <c r="BC30" s="42">
        <f>IF(COUNT('Lançamento'!E30:'Lançamento'!G30)=3,AVERAGE('Lançamento'!E30:'Lançamento'!G30),NA())</f>
        <v/>
      </c>
      <c r="BD30" s="42">
        <f>IF(COUNT('Lançamento'!F30:'Lançamento'!H30)=3,AVERAGE('Lançamento'!F30:'Lançamento'!H30),NA())</f>
        <v/>
      </c>
      <c r="BE30" s="42">
        <f>IF(COUNT('Lançamento'!G30:'Lançamento'!I30)=3,AVERAGE('Lançamento'!G30:'Lançamento'!I30),NA())</f>
        <v/>
      </c>
      <c r="BF30" s="42">
        <f>IF(COUNT('Lançamento'!H30:'Lançamento'!J30)=3,AVERAGE('Lançamento'!H30:'Lançamento'!J30),NA())</f>
        <v/>
      </c>
      <c r="BG30" s="42">
        <f>IF(COUNT('Lançamento'!I30:'Lançamento'!K30)=3,AVERAGE('Lançamento'!I30:'Lançamento'!K30),NA())</f>
        <v/>
      </c>
      <c r="BH30" s="42">
        <f>IF(COUNT('Lançamento'!J30:'Lançamento'!L30)=3,AVERAGE('Lançamento'!J30:'Lançamento'!L30),NA())</f>
        <v/>
      </c>
      <c r="BI30" s="42">
        <f>IF(COUNT('Lançamento'!K30:'Lançamento'!M30)=3,AVERAGE('Lançamento'!K30:'Lançamento'!M30),NA())</f>
        <v/>
      </c>
      <c r="BJ30" s="42">
        <f>IF('Lançamento'!A30="","",'Lançamento'!A30&amp;"   |   Média YTD: "&amp;IF('Lançamento'!O30="","-",ROUND('Lançamento'!O30*100,1)&amp;"%"))</f>
        <v/>
      </c>
    </row>
    <row r="31">
      <c r="A31" s="42">
        <f>IF('Lançamento'!A31="","",'Lançamento'!A31)</f>
        <v/>
      </c>
      <c r="B31" s="43">
        <f>IF(AND(ISNUMBER('Lançamento'!B31),ROUND('Lançamento'!B31,6)&gt;=ROUND('Lançamento'!$H$3,6)),'Lançamento'!B31,0)</f>
        <v/>
      </c>
      <c r="C31" s="43">
        <f>IF(AND(ISNUMBER('Lançamento'!C31),ROUND('Lançamento'!C31,6)&gt;=ROUND('Lançamento'!$H$3,6)),'Lançamento'!C31,0)</f>
        <v/>
      </c>
      <c r="D31" s="43">
        <f>IF(AND(ISNUMBER('Lançamento'!D31),ROUND('Lançamento'!D31,6)&gt;=ROUND('Lançamento'!$H$3,6)),'Lançamento'!D31,0)</f>
        <v/>
      </c>
      <c r="E31" s="43">
        <f>IF(AND(ISNUMBER('Lançamento'!E31),ROUND('Lançamento'!E31,6)&gt;=ROUND('Lançamento'!$H$3,6)),'Lançamento'!E31,0)</f>
        <v/>
      </c>
      <c r="F31" s="43">
        <f>IF(AND(ISNUMBER('Lançamento'!F31),ROUND('Lançamento'!F31,6)&gt;=ROUND('Lançamento'!$H$3,6)),'Lançamento'!F31,0)</f>
        <v/>
      </c>
      <c r="G31" s="43">
        <f>IF(AND(ISNUMBER('Lançamento'!G31),ROUND('Lançamento'!G31,6)&gt;=ROUND('Lançamento'!$H$3,6)),'Lançamento'!G31,0)</f>
        <v/>
      </c>
      <c r="H31" s="43">
        <f>IF(AND(ISNUMBER('Lançamento'!H31),ROUND('Lançamento'!H31,6)&gt;=ROUND('Lançamento'!$H$3,6)),'Lançamento'!H31,0)</f>
        <v/>
      </c>
      <c r="I31" s="43">
        <f>IF(AND(ISNUMBER('Lançamento'!I31),ROUND('Lançamento'!I31,6)&gt;=ROUND('Lançamento'!$H$3,6)),'Lançamento'!I31,0)</f>
        <v/>
      </c>
      <c r="J31" s="43">
        <f>IF(AND(ISNUMBER('Lançamento'!J31),ROUND('Lançamento'!J31,6)&gt;=ROUND('Lançamento'!$H$3,6)),'Lançamento'!J31,0)</f>
        <v/>
      </c>
      <c r="K31" s="43">
        <f>IF(AND(ISNUMBER('Lançamento'!K31),ROUND('Lançamento'!K31,6)&gt;=ROUND('Lançamento'!$H$3,6)),'Lançamento'!K31,0)</f>
        <v/>
      </c>
      <c r="L31" s="43">
        <f>IF(AND(ISNUMBER('Lançamento'!L31),ROUND('Lançamento'!L31,6)&gt;=ROUND('Lançamento'!$H$3,6)),'Lançamento'!L31,0)</f>
        <v/>
      </c>
      <c r="M31" s="43">
        <f>IF(AND(ISNUMBER('Lançamento'!M31),ROUND('Lançamento'!M31,6)&gt;=ROUND('Lançamento'!$H$3,6)),'Lançamento'!M31,0)</f>
        <v/>
      </c>
      <c r="N31" s="43">
        <f>IF(AND(ISNUMBER('Lançamento'!B31),ROUND('Lançamento'!B31,6)&lt;ROUND('Lançamento'!$H$3,6),ROUND('Lançamento'!B31,6)&gt;=ROUND('Lançamento'!$K$3,6)),'Lançamento'!B31,0)</f>
        <v/>
      </c>
      <c r="O31" s="43">
        <f>IF(AND(ISNUMBER('Lançamento'!C31),ROUND('Lançamento'!C31,6)&lt;ROUND('Lançamento'!$H$3,6),ROUND('Lançamento'!C31,6)&gt;=ROUND('Lançamento'!$K$3,6)),'Lançamento'!C31,0)</f>
        <v/>
      </c>
      <c r="P31" s="43">
        <f>IF(AND(ISNUMBER('Lançamento'!D31),ROUND('Lançamento'!D31,6)&lt;ROUND('Lançamento'!$H$3,6),ROUND('Lançamento'!D31,6)&gt;=ROUND('Lançamento'!$K$3,6)),'Lançamento'!D31,0)</f>
        <v/>
      </c>
      <c r="Q31" s="43">
        <f>IF(AND(ISNUMBER('Lançamento'!E31),ROUND('Lançamento'!E31,6)&lt;ROUND('Lançamento'!$H$3,6),ROUND('Lançamento'!E31,6)&gt;=ROUND('Lançamento'!$K$3,6)),'Lançamento'!E31,0)</f>
        <v/>
      </c>
      <c r="R31" s="43">
        <f>IF(AND(ISNUMBER('Lançamento'!F31),ROUND('Lançamento'!F31,6)&lt;ROUND('Lançamento'!$H$3,6),ROUND('Lançamento'!F31,6)&gt;=ROUND('Lançamento'!$K$3,6)),'Lançamento'!F31,0)</f>
        <v/>
      </c>
      <c r="S31" s="43">
        <f>IF(AND(ISNUMBER('Lançamento'!G31),ROUND('Lançamento'!G31,6)&lt;ROUND('Lançamento'!$H$3,6),ROUND('Lançamento'!G31,6)&gt;=ROUND('Lançamento'!$K$3,6)),'Lançamento'!G31,0)</f>
        <v/>
      </c>
      <c r="T31" s="43">
        <f>IF(AND(ISNUMBER('Lançamento'!H31),ROUND('Lançamento'!H31,6)&lt;ROUND('Lançamento'!$H$3,6),ROUND('Lançamento'!H31,6)&gt;=ROUND('Lançamento'!$K$3,6)),'Lançamento'!H31,0)</f>
        <v/>
      </c>
      <c r="U31" s="43">
        <f>IF(AND(ISNUMBER('Lançamento'!I31),ROUND('Lançamento'!I31,6)&lt;ROUND('Lançamento'!$H$3,6),ROUND('Lançamento'!I31,6)&gt;=ROUND('Lançamento'!$K$3,6)),'Lançamento'!I31,0)</f>
        <v/>
      </c>
      <c r="V31" s="43">
        <f>IF(AND(ISNUMBER('Lançamento'!J31),ROUND('Lançamento'!J31,6)&lt;ROUND('Lançamento'!$H$3,6),ROUND('Lançamento'!J31,6)&gt;=ROUND('Lançamento'!$K$3,6)),'Lançamento'!J31,0)</f>
        <v/>
      </c>
      <c r="W31" s="43">
        <f>IF(AND(ISNUMBER('Lançamento'!K31),ROUND('Lançamento'!K31,6)&lt;ROUND('Lançamento'!$H$3,6),ROUND('Lançamento'!K31,6)&gt;=ROUND('Lançamento'!$K$3,6)),'Lançamento'!K31,0)</f>
        <v/>
      </c>
      <c r="X31" s="43">
        <f>IF(AND(ISNUMBER('Lançamento'!L31),ROUND('Lançamento'!L31,6)&lt;ROUND('Lançamento'!$H$3,6),ROUND('Lançamento'!L31,6)&gt;=ROUND('Lançamento'!$K$3,6)),'Lançamento'!L31,0)</f>
        <v/>
      </c>
      <c r="Y31" s="43">
        <f>IF(AND(ISNUMBER('Lançamento'!M31),ROUND('Lançamento'!M31,6)&lt;ROUND('Lançamento'!$H$3,6),ROUND('Lançamento'!M31,6)&gt;=ROUND('Lançamento'!$K$3,6)),'Lançamento'!M31,0)</f>
        <v/>
      </c>
      <c r="Z31" s="43">
        <f>IF(AND(ISNUMBER('Lançamento'!B31),ROUND('Lançamento'!B31,6)&lt;ROUND('Lançamento'!$K$3,6)),'Lançamento'!B31,0)</f>
        <v/>
      </c>
      <c r="AA31" s="43">
        <f>IF(AND(ISNUMBER('Lançamento'!C31),ROUND('Lançamento'!C31,6)&lt;ROUND('Lançamento'!$K$3,6)),'Lançamento'!C31,0)</f>
        <v/>
      </c>
      <c r="AB31" s="43">
        <f>IF(AND(ISNUMBER('Lançamento'!D31),ROUND('Lançamento'!D31,6)&lt;ROUND('Lançamento'!$K$3,6)),'Lançamento'!D31,0)</f>
        <v/>
      </c>
      <c r="AC31" s="43">
        <f>IF(AND(ISNUMBER('Lançamento'!E31),ROUND('Lançamento'!E31,6)&lt;ROUND('Lançamento'!$K$3,6)),'Lançamento'!E31,0)</f>
        <v/>
      </c>
      <c r="AD31" s="43">
        <f>IF(AND(ISNUMBER('Lançamento'!F31),ROUND('Lançamento'!F31,6)&lt;ROUND('Lançamento'!$K$3,6)),'Lançamento'!F31,0)</f>
        <v/>
      </c>
      <c r="AE31" s="43">
        <f>IF(AND(ISNUMBER('Lançamento'!G31),ROUND('Lançamento'!G31,6)&lt;ROUND('Lançamento'!$K$3,6)),'Lançamento'!G31,0)</f>
        <v/>
      </c>
      <c r="AF31" s="43">
        <f>IF(AND(ISNUMBER('Lançamento'!H31),ROUND('Lançamento'!H31,6)&lt;ROUND('Lançamento'!$K$3,6)),'Lançamento'!H31,0)</f>
        <v/>
      </c>
      <c r="AG31" s="43">
        <f>IF(AND(ISNUMBER('Lançamento'!I31),ROUND('Lançamento'!I31,6)&lt;ROUND('Lançamento'!$K$3,6)),'Lançamento'!I31,0)</f>
        <v/>
      </c>
      <c r="AH31" s="43">
        <f>IF(AND(ISNUMBER('Lançamento'!J31),ROUND('Lançamento'!J31,6)&lt;ROUND('Lançamento'!$K$3,6)),'Lançamento'!J31,0)</f>
        <v/>
      </c>
      <c r="AI31" s="43">
        <f>IF(AND(ISNUMBER('Lançamento'!K31),ROUND('Lançamento'!K31,6)&lt;ROUND('Lançamento'!$K$3,6)),'Lançamento'!K31,0)</f>
        <v/>
      </c>
      <c r="AJ31" s="43">
        <f>IF(AND(ISNUMBER('Lançamento'!L31),ROUND('Lançamento'!L31,6)&lt;ROUND('Lançamento'!$K$3,6)),'Lançamento'!L31,0)</f>
        <v/>
      </c>
      <c r="AK31" s="43">
        <f>IF(AND(ISNUMBER('Lançamento'!M31),ROUND('Lançamento'!M31,6)&lt;ROUND('Lançamento'!$K$3,6)),'Lançamento'!M31,0)</f>
        <v/>
      </c>
      <c r="AL31" s="42">
        <f>IF(ISNUMBER('Lançamento'!$N31),'Lançamento'!$N31,0)</f>
        <v/>
      </c>
      <c r="AM31" s="42">
        <f>IF(ISNUMBER('Lançamento'!$N31),'Lançamento'!$N31,0)</f>
        <v/>
      </c>
      <c r="AN31" s="42">
        <f>IF(ISNUMBER('Lançamento'!$N31),'Lançamento'!$N31,0)</f>
        <v/>
      </c>
      <c r="AO31" s="42">
        <f>IF(ISNUMBER('Lançamento'!$N31),'Lançamento'!$N31,0)</f>
        <v/>
      </c>
      <c r="AP31" s="42">
        <f>IF(ISNUMBER('Lançamento'!$N31),'Lançamento'!$N31,0)</f>
        <v/>
      </c>
      <c r="AQ31" s="42">
        <f>IF(ISNUMBER('Lançamento'!$N31),'Lançamento'!$N31,0)</f>
        <v/>
      </c>
      <c r="AR31" s="42">
        <f>IF(ISNUMBER('Lançamento'!$N31),'Lançamento'!$N31,0)</f>
        <v/>
      </c>
      <c r="AS31" s="42">
        <f>IF(ISNUMBER('Lançamento'!$N31),'Lançamento'!$N31,0)</f>
        <v/>
      </c>
      <c r="AT31" s="42">
        <f>IF(ISNUMBER('Lançamento'!$N31),'Lançamento'!$N31,0)</f>
        <v/>
      </c>
      <c r="AU31" s="42">
        <f>IF(ISNUMBER('Lançamento'!$N31),'Lançamento'!$N31,0)</f>
        <v/>
      </c>
      <c r="AV31" s="42">
        <f>IF(ISNUMBER('Lançamento'!$N31),'Lançamento'!$N31,0)</f>
        <v/>
      </c>
      <c r="AW31" s="42">
        <f>IF(ISNUMBER('Lançamento'!$N31),'Lançamento'!$N31,0)</f>
        <v/>
      </c>
      <c r="AX31" s="42">
        <f>NA()</f>
        <v/>
      </c>
      <c r="AY31" s="42">
        <f>NA()</f>
        <v/>
      </c>
      <c r="AZ31" s="42">
        <f>IF(COUNT('Lançamento'!B31:'Lançamento'!D31)=3,AVERAGE('Lançamento'!B31:'Lançamento'!D31),NA())</f>
        <v/>
      </c>
      <c r="BA31" s="42">
        <f>IF(COUNT('Lançamento'!C31:'Lançamento'!E31)=3,AVERAGE('Lançamento'!C31:'Lançamento'!E31),NA())</f>
        <v/>
      </c>
      <c r="BB31" s="42">
        <f>IF(COUNT('Lançamento'!D31:'Lançamento'!F31)=3,AVERAGE('Lançamento'!D31:'Lançamento'!F31),NA())</f>
        <v/>
      </c>
      <c r="BC31" s="42">
        <f>IF(COUNT('Lançamento'!E31:'Lançamento'!G31)=3,AVERAGE('Lançamento'!E31:'Lançamento'!G31),NA())</f>
        <v/>
      </c>
      <c r="BD31" s="42">
        <f>IF(COUNT('Lançamento'!F31:'Lançamento'!H31)=3,AVERAGE('Lançamento'!F31:'Lançamento'!H31),NA())</f>
        <v/>
      </c>
      <c r="BE31" s="42">
        <f>IF(COUNT('Lançamento'!G31:'Lançamento'!I31)=3,AVERAGE('Lançamento'!G31:'Lançamento'!I31),NA())</f>
        <v/>
      </c>
      <c r="BF31" s="42">
        <f>IF(COUNT('Lançamento'!H31:'Lançamento'!J31)=3,AVERAGE('Lançamento'!H31:'Lançamento'!J31),NA())</f>
        <v/>
      </c>
      <c r="BG31" s="42">
        <f>IF(COUNT('Lançamento'!I31:'Lançamento'!K31)=3,AVERAGE('Lançamento'!I31:'Lançamento'!K31),NA())</f>
        <v/>
      </c>
      <c r="BH31" s="42">
        <f>IF(COUNT('Lançamento'!J31:'Lançamento'!L31)=3,AVERAGE('Lançamento'!J31:'Lançamento'!L31),NA())</f>
        <v/>
      </c>
      <c r="BI31" s="42">
        <f>IF(COUNT('Lançamento'!K31:'Lançamento'!M31)=3,AVERAGE('Lançamento'!K31:'Lançamento'!M31),NA())</f>
        <v/>
      </c>
      <c r="BJ31" s="42">
        <f>IF('Lançamento'!A31="","",'Lançamento'!A31&amp;"   |   Média YTD: "&amp;IF('Lançamento'!O31="","-",ROUND('Lançamento'!O31*100,1)&amp;"%"))</f>
        <v/>
      </c>
    </row>
    <row r="32">
      <c r="A32" s="42">
        <f>IF('Lançamento'!A32="","",'Lançamento'!A32)</f>
        <v/>
      </c>
      <c r="B32" s="43">
        <f>IF(AND(ISNUMBER('Lançamento'!B32),ROUND('Lançamento'!B32,6)&gt;=ROUND('Lançamento'!$H$3,6)),'Lançamento'!B32,0)</f>
        <v/>
      </c>
      <c r="C32" s="43">
        <f>IF(AND(ISNUMBER('Lançamento'!C32),ROUND('Lançamento'!C32,6)&gt;=ROUND('Lançamento'!$H$3,6)),'Lançamento'!C32,0)</f>
        <v/>
      </c>
      <c r="D32" s="43">
        <f>IF(AND(ISNUMBER('Lançamento'!D32),ROUND('Lançamento'!D32,6)&gt;=ROUND('Lançamento'!$H$3,6)),'Lançamento'!D32,0)</f>
        <v/>
      </c>
      <c r="E32" s="43">
        <f>IF(AND(ISNUMBER('Lançamento'!E32),ROUND('Lançamento'!E32,6)&gt;=ROUND('Lançamento'!$H$3,6)),'Lançamento'!E32,0)</f>
        <v/>
      </c>
      <c r="F32" s="43">
        <f>IF(AND(ISNUMBER('Lançamento'!F32),ROUND('Lançamento'!F32,6)&gt;=ROUND('Lançamento'!$H$3,6)),'Lançamento'!F32,0)</f>
        <v/>
      </c>
      <c r="G32" s="43">
        <f>IF(AND(ISNUMBER('Lançamento'!G32),ROUND('Lançamento'!G32,6)&gt;=ROUND('Lançamento'!$H$3,6)),'Lançamento'!G32,0)</f>
        <v/>
      </c>
      <c r="H32" s="43">
        <f>IF(AND(ISNUMBER('Lançamento'!H32),ROUND('Lançamento'!H32,6)&gt;=ROUND('Lançamento'!$H$3,6)),'Lançamento'!H32,0)</f>
        <v/>
      </c>
      <c r="I32" s="43">
        <f>IF(AND(ISNUMBER('Lançamento'!I32),ROUND('Lançamento'!I32,6)&gt;=ROUND('Lançamento'!$H$3,6)),'Lançamento'!I32,0)</f>
        <v/>
      </c>
      <c r="J32" s="43">
        <f>IF(AND(ISNUMBER('Lançamento'!J32),ROUND('Lançamento'!J32,6)&gt;=ROUND('Lançamento'!$H$3,6)),'Lançamento'!J32,0)</f>
        <v/>
      </c>
      <c r="K32" s="43">
        <f>IF(AND(ISNUMBER('Lançamento'!K32),ROUND('Lançamento'!K32,6)&gt;=ROUND('Lançamento'!$H$3,6)),'Lançamento'!K32,0)</f>
        <v/>
      </c>
      <c r="L32" s="43">
        <f>IF(AND(ISNUMBER('Lançamento'!L32),ROUND('Lançamento'!L32,6)&gt;=ROUND('Lançamento'!$H$3,6)),'Lançamento'!L32,0)</f>
        <v/>
      </c>
      <c r="M32" s="43">
        <f>IF(AND(ISNUMBER('Lançamento'!M32),ROUND('Lançamento'!M32,6)&gt;=ROUND('Lançamento'!$H$3,6)),'Lançamento'!M32,0)</f>
        <v/>
      </c>
      <c r="N32" s="43">
        <f>IF(AND(ISNUMBER('Lançamento'!B32),ROUND('Lançamento'!B32,6)&lt;ROUND('Lançamento'!$H$3,6),ROUND('Lançamento'!B32,6)&gt;=ROUND('Lançamento'!$K$3,6)),'Lançamento'!B32,0)</f>
        <v/>
      </c>
      <c r="O32" s="43">
        <f>IF(AND(ISNUMBER('Lançamento'!C32),ROUND('Lançamento'!C32,6)&lt;ROUND('Lançamento'!$H$3,6),ROUND('Lançamento'!C32,6)&gt;=ROUND('Lançamento'!$K$3,6)),'Lançamento'!C32,0)</f>
        <v/>
      </c>
      <c r="P32" s="43">
        <f>IF(AND(ISNUMBER('Lançamento'!D32),ROUND('Lançamento'!D32,6)&lt;ROUND('Lançamento'!$H$3,6),ROUND('Lançamento'!D32,6)&gt;=ROUND('Lançamento'!$K$3,6)),'Lançamento'!D32,0)</f>
        <v/>
      </c>
      <c r="Q32" s="43">
        <f>IF(AND(ISNUMBER('Lançamento'!E32),ROUND('Lançamento'!E32,6)&lt;ROUND('Lançamento'!$H$3,6),ROUND('Lançamento'!E32,6)&gt;=ROUND('Lançamento'!$K$3,6)),'Lançamento'!E32,0)</f>
        <v/>
      </c>
      <c r="R32" s="43">
        <f>IF(AND(ISNUMBER('Lançamento'!F32),ROUND('Lançamento'!F32,6)&lt;ROUND('Lançamento'!$H$3,6),ROUND('Lançamento'!F32,6)&gt;=ROUND('Lançamento'!$K$3,6)),'Lançamento'!F32,0)</f>
        <v/>
      </c>
      <c r="S32" s="43">
        <f>IF(AND(ISNUMBER('Lançamento'!G32),ROUND('Lançamento'!G32,6)&lt;ROUND('Lançamento'!$H$3,6),ROUND('Lançamento'!G32,6)&gt;=ROUND('Lançamento'!$K$3,6)),'Lançamento'!G32,0)</f>
        <v/>
      </c>
      <c r="T32" s="43">
        <f>IF(AND(ISNUMBER('Lançamento'!H32),ROUND('Lançamento'!H32,6)&lt;ROUND('Lançamento'!$H$3,6),ROUND('Lançamento'!H32,6)&gt;=ROUND('Lançamento'!$K$3,6)),'Lançamento'!H32,0)</f>
        <v/>
      </c>
      <c r="U32" s="43">
        <f>IF(AND(ISNUMBER('Lançamento'!I32),ROUND('Lançamento'!I32,6)&lt;ROUND('Lançamento'!$H$3,6),ROUND('Lançamento'!I32,6)&gt;=ROUND('Lançamento'!$K$3,6)),'Lançamento'!I32,0)</f>
        <v/>
      </c>
      <c r="V32" s="43">
        <f>IF(AND(ISNUMBER('Lançamento'!J32),ROUND('Lançamento'!J32,6)&lt;ROUND('Lançamento'!$H$3,6),ROUND('Lançamento'!J32,6)&gt;=ROUND('Lançamento'!$K$3,6)),'Lançamento'!J32,0)</f>
        <v/>
      </c>
      <c r="W32" s="43">
        <f>IF(AND(ISNUMBER('Lançamento'!K32),ROUND('Lançamento'!K32,6)&lt;ROUND('Lançamento'!$H$3,6),ROUND('Lançamento'!K32,6)&gt;=ROUND('Lançamento'!$K$3,6)),'Lançamento'!K32,0)</f>
        <v/>
      </c>
      <c r="X32" s="43">
        <f>IF(AND(ISNUMBER('Lançamento'!L32),ROUND('Lançamento'!L32,6)&lt;ROUND('Lançamento'!$H$3,6),ROUND('Lançamento'!L32,6)&gt;=ROUND('Lançamento'!$K$3,6)),'Lançamento'!L32,0)</f>
        <v/>
      </c>
      <c r="Y32" s="43">
        <f>IF(AND(ISNUMBER('Lançamento'!M32),ROUND('Lançamento'!M32,6)&lt;ROUND('Lançamento'!$H$3,6),ROUND('Lançamento'!M32,6)&gt;=ROUND('Lançamento'!$K$3,6)),'Lançamento'!M32,0)</f>
        <v/>
      </c>
      <c r="Z32" s="43">
        <f>IF(AND(ISNUMBER('Lançamento'!B32),ROUND('Lançamento'!B32,6)&lt;ROUND('Lançamento'!$K$3,6)),'Lançamento'!B32,0)</f>
        <v/>
      </c>
      <c r="AA32" s="43">
        <f>IF(AND(ISNUMBER('Lançamento'!C32),ROUND('Lançamento'!C32,6)&lt;ROUND('Lançamento'!$K$3,6)),'Lançamento'!C32,0)</f>
        <v/>
      </c>
      <c r="AB32" s="43">
        <f>IF(AND(ISNUMBER('Lançamento'!D32),ROUND('Lançamento'!D32,6)&lt;ROUND('Lançamento'!$K$3,6)),'Lançamento'!D32,0)</f>
        <v/>
      </c>
      <c r="AC32" s="43">
        <f>IF(AND(ISNUMBER('Lançamento'!E32),ROUND('Lançamento'!E32,6)&lt;ROUND('Lançamento'!$K$3,6)),'Lançamento'!E32,0)</f>
        <v/>
      </c>
      <c r="AD32" s="43">
        <f>IF(AND(ISNUMBER('Lançamento'!F32),ROUND('Lançamento'!F32,6)&lt;ROUND('Lançamento'!$K$3,6)),'Lançamento'!F32,0)</f>
        <v/>
      </c>
      <c r="AE32" s="43">
        <f>IF(AND(ISNUMBER('Lançamento'!G32),ROUND('Lançamento'!G32,6)&lt;ROUND('Lançamento'!$K$3,6)),'Lançamento'!G32,0)</f>
        <v/>
      </c>
      <c r="AF32" s="43">
        <f>IF(AND(ISNUMBER('Lançamento'!H32),ROUND('Lançamento'!H32,6)&lt;ROUND('Lançamento'!$K$3,6)),'Lançamento'!H32,0)</f>
        <v/>
      </c>
      <c r="AG32" s="43">
        <f>IF(AND(ISNUMBER('Lançamento'!I32),ROUND('Lançamento'!I32,6)&lt;ROUND('Lançamento'!$K$3,6)),'Lançamento'!I32,0)</f>
        <v/>
      </c>
      <c r="AH32" s="43">
        <f>IF(AND(ISNUMBER('Lançamento'!J32),ROUND('Lançamento'!J32,6)&lt;ROUND('Lançamento'!$K$3,6)),'Lançamento'!J32,0)</f>
        <v/>
      </c>
      <c r="AI32" s="43">
        <f>IF(AND(ISNUMBER('Lançamento'!K32),ROUND('Lançamento'!K32,6)&lt;ROUND('Lançamento'!$K$3,6)),'Lançamento'!K32,0)</f>
        <v/>
      </c>
      <c r="AJ32" s="43">
        <f>IF(AND(ISNUMBER('Lançamento'!L32),ROUND('Lançamento'!L32,6)&lt;ROUND('Lançamento'!$K$3,6)),'Lançamento'!L32,0)</f>
        <v/>
      </c>
      <c r="AK32" s="43">
        <f>IF(AND(ISNUMBER('Lançamento'!M32),ROUND('Lançamento'!M32,6)&lt;ROUND('Lançamento'!$K$3,6)),'Lançamento'!M32,0)</f>
        <v/>
      </c>
      <c r="AL32" s="42">
        <f>IF(ISNUMBER('Lançamento'!$N32),'Lançamento'!$N32,0)</f>
        <v/>
      </c>
      <c r="AM32" s="42">
        <f>IF(ISNUMBER('Lançamento'!$N32),'Lançamento'!$N32,0)</f>
        <v/>
      </c>
      <c r="AN32" s="42">
        <f>IF(ISNUMBER('Lançamento'!$N32),'Lançamento'!$N32,0)</f>
        <v/>
      </c>
      <c r="AO32" s="42">
        <f>IF(ISNUMBER('Lançamento'!$N32),'Lançamento'!$N32,0)</f>
        <v/>
      </c>
      <c r="AP32" s="42">
        <f>IF(ISNUMBER('Lançamento'!$N32),'Lançamento'!$N32,0)</f>
        <v/>
      </c>
      <c r="AQ32" s="42">
        <f>IF(ISNUMBER('Lançamento'!$N32),'Lançamento'!$N32,0)</f>
        <v/>
      </c>
      <c r="AR32" s="42">
        <f>IF(ISNUMBER('Lançamento'!$N32),'Lançamento'!$N32,0)</f>
        <v/>
      </c>
      <c r="AS32" s="42">
        <f>IF(ISNUMBER('Lançamento'!$N32),'Lançamento'!$N32,0)</f>
        <v/>
      </c>
      <c r="AT32" s="42">
        <f>IF(ISNUMBER('Lançamento'!$N32),'Lançamento'!$N32,0)</f>
        <v/>
      </c>
      <c r="AU32" s="42">
        <f>IF(ISNUMBER('Lançamento'!$N32),'Lançamento'!$N32,0)</f>
        <v/>
      </c>
      <c r="AV32" s="42">
        <f>IF(ISNUMBER('Lançamento'!$N32),'Lançamento'!$N32,0)</f>
        <v/>
      </c>
      <c r="AW32" s="42">
        <f>IF(ISNUMBER('Lançamento'!$N32),'Lançamento'!$N32,0)</f>
        <v/>
      </c>
      <c r="AX32" s="42">
        <f>NA()</f>
        <v/>
      </c>
      <c r="AY32" s="42">
        <f>NA()</f>
        <v/>
      </c>
      <c r="AZ32" s="42">
        <f>IF(COUNT('Lançamento'!B32:'Lançamento'!D32)=3,AVERAGE('Lançamento'!B32:'Lançamento'!D32),NA())</f>
        <v/>
      </c>
      <c r="BA32" s="42">
        <f>IF(COUNT('Lançamento'!C32:'Lançamento'!E32)=3,AVERAGE('Lançamento'!C32:'Lançamento'!E32),NA())</f>
        <v/>
      </c>
      <c r="BB32" s="42">
        <f>IF(COUNT('Lançamento'!D32:'Lançamento'!F32)=3,AVERAGE('Lançamento'!D32:'Lançamento'!F32),NA())</f>
        <v/>
      </c>
      <c r="BC32" s="42">
        <f>IF(COUNT('Lançamento'!E32:'Lançamento'!G32)=3,AVERAGE('Lançamento'!E32:'Lançamento'!G32),NA())</f>
        <v/>
      </c>
      <c r="BD32" s="42">
        <f>IF(COUNT('Lançamento'!F32:'Lançamento'!H32)=3,AVERAGE('Lançamento'!F32:'Lançamento'!H32),NA())</f>
        <v/>
      </c>
      <c r="BE32" s="42">
        <f>IF(COUNT('Lançamento'!G32:'Lançamento'!I32)=3,AVERAGE('Lançamento'!G32:'Lançamento'!I32),NA())</f>
        <v/>
      </c>
      <c r="BF32" s="42">
        <f>IF(COUNT('Lançamento'!H32:'Lançamento'!J32)=3,AVERAGE('Lançamento'!H32:'Lançamento'!J32),NA())</f>
        <v/>
      </c>
      <c r="BG32" s="42">
        <f>IF(COUNT('Lançamento'!I32:'Lançamento'!K32)=3,AVERAGE('Lançamento'!I32:'Lançamento'!K32),NA())</f>
        <v/>
      </c>
      <c r="BH32" s="42">
        <f>IF(COUNT('Lançamento'!J32:'Lançamento'!L32)=3,AVERAGE('Lançamento'!J32:'Lançamento'!L32),NA())</f>
        <v/>
      </c>
      <c r="BI32" s="42">
        <f>IF(COUNT('Lançamento'!K32:'Lançamento'!M32)=3,AVERAGE('Lançamento'!K32:'Lançamento'!M32),NA())</f>
        <v/>
      </c>
      <c r="BJ32" s="42">
        <f>IF('Lançamento'!A32="","",'Lançamento'!A32&amp;"   |   Média YTD: "&amp;IF('Lançamento'!O32="","-",ROUND('Lançamento'!O32*100,1)&amp;"%"))</f>
        <v/>
      </c>
    </row>
    <row r="33">
      <c r="A33" s="42">
        <f>IF('Lançamento'!A33="","",'Lançamento'!A33)</f>
        <v/>
      </c>
      <c r="B33" s="43">
        <f>IF(AND(ISNUMBER('Lançamento'!B33),ROUND('Lançamento'!B33,6)&gt;=ROUND('Lançamento'!$H$3,6)),'Lançamento'!B33,0)</f>
        <v/>
      </c>
      <c r="C33" s="43">
        <f>IF(AND(ISNUMBER('Lançamento'!C33),ROUND('Lançamento'!C33,6)&gt;=ROUND('Lançamento'!$H$3,6)),'Lançamento'!C33,0)</f>
        <v/>
      </c>
      <c r="D33" s="43">
        <f>IF(AND(ISNUMBER('Lançamento'!D33),ROUND('Lançamento'!D33,6)&gt;=ROUND('Lançamento'!$H$3,6)),'Lançamento'!D33,0)</f>
        <v/>
      </c>
      <c r="E33" s="43">
        <f>IF(AND(ISNUMBER('Lançamento'!E33),ROUND('Lançamento'!E33,6)&gt;=ROUND('Lançamento'!$H$3,6)),'Lançamento'!E33,0)</f>
        <v/>
      </c>
      <c r="F33" s="43">
        <f>IF(AND(ISNUMBER('Lançamento'!F33),ROUND('Lançamento'!F33,6)&gt;=ROUND('Lançamento'!$H$3,6)),'Lançamento'!F33,0)</f>
        <v/>
      </c>
      <c r="G33" s="43">
        <f>IF(AND(ISNUMBER('Lançamento'!G33),ROUND('Lançamento'!G33,6)&gt;=ROUND('Lançamento'!$H$3,6)),'Lançamento'!G33,0)</f>
        <v/>
      </c>
      <c r="H33" s="43">
        <f>IF(AND(ISNUMBER('Lançamento'!H33),ROUND('Lançamento'!H33,6)&gt;=ROUND('Lançamento'!$H$3,6)),'Lançamento'!H33,0)</f>
        <v/>
      </c>
      <c r="I33" s="43">
        <f>IF(AND(ISNUMBER('Lançamento'!I33),ROUND('Lançamento'!I33,6)&gt;=ROUND('Lançamento'!$H$3,6)),'Lançamento'!I33,0)</f>
        <v/>
      </c>
      <c r="J33" s="43">
        <f>IF(AND(ISNUMBER('Lançamento'!J33),ROUND('Lançamento'!J33,6)&gt;=ROUND('Lançamento'!$H$3,6)),'Lançamento'!J33,0)</f>
        <v/>
      </c>
      <c r="K33" s="43">
        <f>IF(AND(ISNUMBER('Lançamento'!K33),ROUND('Lançamento'!K33,6)&gt;=ROUND('Lançamento'!$H$3,6)),'Lançamento'!K33,0)</f>
        <v/>
      </c>
      <c r="L33" s="43">
        <f>IF(AND(ISNUMBER('Lançamento'!L33),ROUND('Lançamento'!L33,6)&gt;=ROUND('Lançamento'!$H$3,6)),'Lançamento'!L33,0)</f>
        <v/>
      </c>
      <c r="M33" s="43">
        <f>IF(AND(ISNUMBER('Lançamento'!M33),ROUND('Lançamento'!M33,6)&gt;=ROUND('Lançamento'!$H$3,6)),'Lançamento'!M33,0)</f>
        <v/>
      </c>
      <c r="N33" s="43">
        <f>IF(AND(ISNUMBER('Lançamento'!B33),ROUND('Lançamento'!B33,6)&lt;ROUND('Lançamento'!$H$3,6),ROUND('Lançamento'!B33,6)&gt;=ROUND('Lançamento'!$K$3,6)),'Lançamento'!B33,0)</f>
        <v/>
      </c>
      <c r="O33" s="43">
        <f>IF(AND(ISNUMBER('Lançamento'!C33),ROUND('Lançamento'!C33,6)&lt;ROUND('Lançamento'!$H$3,6),ROUND('Lançamento'!C33,6)&gt;=ROUND('Lançamento'!$K$3,6)),'Lançamento'!C33,0)</f>
        <v/>
      </c>
      <c r="P33" s="43">
        <f>IF(AND(ISNUMBER('Lançamento'!D33),ROUND('Lançamento'!D33,6)&lt;ROUND('Lançamento'!$H$3,6),ROUND('Lançamento'!D33,6)&gt;=ROUND('Lançamento'!$K$3,6)),'Lançamento'!D33,0)</f>
        <v/>
      </c>
      <c r="Q33" s="43">
        <f>IF(AND(ISNUMBER('Lançamento'!E33),ROUND('Lançamento'!E33,6)&lt;ROUND('Lançamento'!$H$3,6),ROUND('Lançamento'!E33,6)&gt;=ROUND('Lançamento'!$K$3,6)),'Lançamento'!E33,0)</f>
        <v/>
      </c>
      <c r="R33" s="43">
        <f>IF(AND(ISNUMBER('Lançamento'!F33),ROUND('Lançamento'!F33,6)&lt;ROUND('Lançamento'!$H$3,6),ROUND('Lançamento'!F33,6)&gt;=ROUND('Lançamento'!$K$3,6)),'Lançamento'!F33,0)</f>
        <v/>
      </c>
      <c r="S33" s="43">
        <f>IF(AND(ISNUMBER('Lançamento'!G33),ROUND('Lançamento'!G33,6)&lt;ROUND('Lançamento'!$H$3,6),ROUND('Lançamento'!G33,6)&gt;=ROUND('Lançamento'!$K$3,6)),'Lançamento'!G33,0)</f>
        <v/>
      </c>
      <c r="T33" s="43">
        <f>IF(AND(ISNUMBER('Lançamento'!H33),ROUND('Lançamento'!H33,6)&lt;ROUND('Lançamento'!$H$3,6),ROUND('Lançamento'!H33,6)&gt;=ROUND('Lançamento'!$K$3,6)),'Lançamento'!H33,0)</f>
        <v/>
      </c>
      <c r="U33" s="43">
        <f>IF(AND(ISNUMBER('Lançamento'!I33),ROUND('Lançamento'!I33,6)&lt;ROUND('Lançamento'!$H$3,6),ROUND('Lançamento'!I33,6)&gt;=ROUND('Lançamento'!$K$3,6)),'Lançamento'!I33,0)</f>
        <v/>
      </c>
      <c r="V33" s="43">
        <f>IF(AND(ISNUMBER('Lançamento'!J33),ROUND('Lançamento'!J33,6)&lt;ROUND('Lançamento'!$H$3,6),ROUND('Lançamento'!J33,6)&gt;=ROUND('Lançamento'!$K$3,6)),'Lançamento'!J33,0)</f>
        <v/>
      </c>
      <c r="W33" s="43">
        <f>IF(AND(ISNUMBER('Lançamento'!K33),ROUND('Lançamento'!K33,6)&lt;ROUND('Lançamento'!$H$3,6),ROUND('Lançamento'!K33,6)&gt;=ROUND('Lançamento'!$K$3,6)),'Lançamento'!K33,0)</f>
        <v/>
      </c>
      <c r="X33" s="43">
        <f>IF(AND(ISNUMBER('Lançamento'!L33),ROUND('Lançamento'!L33,6)&lt;ROUND('Lançamento'!$H$3,6),ROUND('Lançamento'!L33,6)&gt;=ROUND('Lançamento'!$K$3,6)),'Lançamento'!L33,0)</f>
        <v/>
      </c>
      <c r="Y33" s="43">
        <f>IF(AND(ISNUMBER('Lançamento'!M33),ROUND('Lançamento'!M33,6)&lt;ROUND('Lançamento'!$H$3,6),ROUND('Lançamento'!M33,6)&gt;=ROUND('Lançamento'!$K$3,6)),'Lançamento'!M33,0)</f>
        <v/>
      </c>
      <c r="Z33" s="43">
        <f>IF(AND(ISNUMBER('Lançamento'!B33),ROUND('Lançamento'!B33,6)&lt;ROUND('Lançamento'!$K$3,6)),'Lançamento'!B33,0)</f>
        <v/>
      </c>
      <c r="AA33" s="43">
        <f>IF(AND(ISNUMBER('Lançamento'!C33),ROUND('Lançamento'!C33,6)&lt;ROUND('Lançamento'!$K$3,6)),'Lançamento'!C33,0)</f>
        <v/>
      </c>
      <c r="AB33" s="43">
        <f>IF(AND(ISNUMBER('Lançamento'!D33),ROUND('Lançamento'!D33,6)&lt;ROUND('Lançamento'!$K$3,6)),'Lançamento'!D33,0)</f>
        <v/>
      </c>
      <c r="AC33" s="43">
        <f>IF(AND(ISNUMBER('Lançamento'!E33),ROUND('Lançamento'!E33,6)&lt;ROUND('Lançamento'!$K$3,6)),'Lançamento'!E33,0)</f>
        <v/>
      </c>
      <c r="AD33" s="43">
        <f>IF(AND(ISNUMBER('Lançamento'!F33),ROUND('Lançamento'!F33,6)&lt;ROUND('Lançamento'!$K$3,6)),'Lançamento'!F33,0)</f>
        <v/>
      </c>
      <c r="AE33" s="43">
        <f>IF(AND(ISNUMBER('Lançamento'!G33),ROUND('Lançamento'!G33,6)&lt;ROUND('Lançamento'!$K$3,6)),'Lançamento'!G33,0)</f>
        <v/>
      </c>
      <c r="AF33" s="43">
        <f>IF(AND(ISNUMBER('Lançamento'!H33),ROUND('Lançamento'!H33,6)&lt;ROUND('Lançamento'!$K$3,6)),'Lançamento'!H33,0)</f>
        <v/>
      </c>
      <c r="AG33" s="43">
        <f>IF(AND(ISNUMBER('Lançamento'!I33),ROUND('Lançamento'!I33,6)&lt;ROUND('Lançamento'!$K$3,6)),'Lançamento'!I33,0)</f>
        <v/>
      </c>
      <c r="AH33" s="43">
        <f>IF(AND(ISNUMBER('Lançamento'!J33),ROUND('Lançamento'!J33,6)&lt;ROUND('Lançamento'!$K$3,6)),'Lançamento'!J33,0)</f>
        <v/>
      </c>
      <c r="AI33" s="43">
        <f>IF(AND(ISNUMBER('Lançamento'!K33),ROUND('Lançamento'!K33,6)&lt;ROUND('Lançamento'!$K$3,6)),'Lançamento'!K33,0)</f>
        <v/>
      </c>
      <c r="AJ33" s="43">
        <f>IF(AND(ISNUMBER('Lançamento'!L33),ROUND('Lançamento'!L33,6)&lt;ROUND('Lançamento'!$K$3,6)),'Lançamento'!L33,0)</f>
        <v/>
      </c>
      <c r="AK33" s="43">
        <f>IF(AND(ISNUMBER('Lançamento'!M33),ROUND('Lançamento'!M33,6)&lt;ROUND('Lançamento'!$K$3,6)),'Lançamento'!M33,0)</f>
        <v/>
      </c>
      <c r="AL33" s="42">
        <f>IF(ISNUMBER('Lançamento'!$N33),'Lançamento'!$N33,0)</f>
        <v/>
      </c>
      <c r="AM33" s="42">
        <f>IF(ISNUMBER('Lançamento'!$N33),'Lançamento'!$N33,0)</f>
        <v/>
      </c>
      <c r="AN33" s="42">
        <f>IF(ISNUMBER('Lançamento'!$N33),'Lançamento'!$N33,0)</f>
        <v/>
      </c>
      <c r="AO33" s="42">
        <f>IF(ISNUMBER('Lançamento'!$N33),'Lançamento'!$N33,0)</f>
        <v/>
      </c>
      <c r="AP33" s="42">
        <f>IF(ISNUMBER('Lançamento'!$N33),'Lançamento'!$N33,0)</f>
        <v/>
      </c>
      <c r="AQ33" s="42">
        <f>IF(ISNUMBER('Lançamento'!$N33),'Lançamento'!$N33,0)</f>
        <v/>
      </c>
      <c r="AR33" s="42">
        <f>IF(ISNUMBER('Lançamento'!$N33),'Lançamento'!$N33,0)</f>
        <v/>
      </c>
      <c r="AS33" s="42">
        <f>IF(ISNUMBER('Lançamento'!$N33),'Lançamento'!$N33,0)</f>
        <v/>
      </c>
      <c r="AT33" s="42">
        <f>IF(ISNUMBER('Lançamento'!$N33),'Lançamento'!$N33,0)</f>
        <v/>
      </c>
      <c r="AU33" s="42">
        <f>IF(ISNUMBER('Lançamento'!$N33),'Lançamento'!$N33,0)</f>
        <v/>
      </c>
      <c r="AV33" s="42">
        <f>IF(ISNUMBER('Lançamento'!$N33),'Lançamento'!$N33,0)</f>
        <v/>
      </c>
      <c r="AW33" s="42">
        <f>IF(ISNUMBER('Lançamento'!$N33),'Lançamento'!$N33,0)</f>
        <v/>
      </c>
      <c r="AX33" s="42">
        <f>NA()</f>
        <v/>
      </c>
      <c r="AY33" s="42">
        <f>NA()</f>
        <v/>
      </c>
      <c r="AZ33" s="42">
        <f>IF(COUNT('Lançamento'!B33:'Lançamento'!D33)=3,AVERAGE('Lançamento'!B33:'Lançamento'!D33),NA())</f>
        <v/>
      </c>
      <c r="BA33" s="42">
        <f>IF(COUNT('Lançamento'!C33:'Lançamento'!E33)=3,AVERAGE('Lançamento'!C33:'Lançamento'!E33),NA())</f>
        <v/>
      </c>
      <c r="BB33" s="42">
        <f>IF(COUNT('Lançamento'!D33:'Lançamento'!F33)=3,AVERAGE('Lançamento'!D33:'Lançamento'!F33),NA())</f>
        <v/>
      </c>
      <c r="BC33" s="42">
        <f>IF(COUNT('Lançamento'!E33:'Lançamento'!G33)=3,AVERAGE('Lançamento'!E33:'Lançamento'!G33),NA())</f>
        <v/>
      </c>
      <c r="BD33" s="42">
        <f>IF(COUNT('Lançamento'!F33:'Lançamento'!H33)=3,AVERAGE('Lançamento'!F33:'Lançamento'!H33),NA())</f>
        <v/>
      </c>
      <c r="BE33" s="42">
        <f>IF(COUNT('Lançamento'!G33:'Lançamento'!I33)=3,AVERAGE('Lançamento'!G33:'Lançamento'!I33),NA())</f>
        <v/>
      </c>
      <c r="BF33" s="42">
        <f>IF(COUNT('Lançamento'!H33:'Lançamento'!J33)=3,AVERAGE('Lançamento'!H33:'Lançamento'!J33),NA())</f>
        <v/>
      </c>
      <c r="BG33" s="42">
        <f>IF(COUNT('Lançamento'!I33:'Lançamento'!K33)=3,AVERAGE('Lançamento'!I33:'Lançamento'!K33),NA())</f>
        <v/>
      </c>
      <c r="BH33" s="42">
        <f>IF(COUNT('Lançamento'!J33:'Lançamento'!L33)=3,AVERAGE('Lançamento'!J33:'Lançamento'!L33),NA())</f>
        <v/>
      </c>
      <c r="BI33" s="42">
        <f>IF(COUNT('Lançamento'!K33:'Lançamento'!M33)=3,AVERAGE('Lançamento'!K33:'Lançamento'!M33),NA())</f>
        <v/>
      </c>
      <c r="BJ33" s="42">
        <f>IF('Lançamento'!A33="","",'Lançamento'!A33&amp;"   |   Média YTD: "&amp;IF('Lançamento'!O33="","-",ROUND('Lançamento'!O33*100,1)&amp;"%"))</f>
        <v/>
      </c>
    </row>
    <row r="34">
      <c r="A34" s="42">
        <f>IF('Lançamento'!A34="","",'Lançamento'!A34)</f>
        <v/>
      </c>
      <c r="B34" s="43">
        <f>IF(AND(ISNUMBER('Lançamento'!B34),ROUND('Lançamento'!B34,6)&gt;=ROUND('Lançamento'!$H$3,6)),'Lançamento'!B34,0)</f>
        <v/>
      </c>
      <c r="C34" s="43">
        <f>IF(AND(ISNUMBER('Lançamento'!C34),ROUND('Lançamento'!C34,6)&gt;=ROUND('Lançamento'!$H$3,6)),'Lançamento'!C34,0)</f>
        <v/>
      </c>
      <c r="D34" s="43">
        <f>IF(AND(ISNUMBER('Lançamento'!D34),ROUND('Lançamento'!D34,6)&gt;=ROUND('Lançamento'!$H$3,6)),'Lançamento'!D34,0)</f>
        <v/>
      </c>
      <c r="E34" s="43">
        <f>IF(AND(ISNUMBER('Lançamento'!E34),ROUND('Lançamento'!E34,6)&gt;=ROUND('Lançamento'!$H$3,6)),'Lançamento'!E34,0)</f>
        <v/>
      </c>
      <c r="F34" s="43">
        <f>IF(AND(ISNUMBER('Lançamento'!F34),ROUND('Lançamento'!F34,6)&gt;=ROUND('Lançamento'!$H$3,6)),'Lançamento'!F34,0)</f>
        <v/>
      </c>
      <c r="G34" s="43">
        <f>IF(AND(ISNUMBER('Lançamento'!G34),ROUND('Lançamento'!G34,6)&gt;=ROUND('Lançamento'!$H$3,6)),'Lançamento'!G34,0)</f>
        <v/>
      </c>
      <c r="H34" s="43">
        <f>IF(AND(ISNUMBER('Lançamento'!H34),ROUND('Lançamento'!H34,6)&gt;=ROUND('Lançamento'!$H$3,6)),'Lançamento'!H34,0)</f>
        <v/>
      </c>
      <c r="I34" s="43">
        <f>IF(AND(ISNUMBER('Lançamento'!I34),ROUND('Lançamento'!I34,6)&gt;=ROUND('Lançamento'!$H$3,6)),'Lançamento'!I34,0)</f>
        <v/>
      </c>
      <c r="J34" s="43">
        <f>IF(AND(ISNUMBER('Lançamento'!J34),ROUND('Lançamento'!J34,6)&gt;=ROUND('Lançamento'!$H$3,6)),'Lançamento'!J34,0)</f>
        <v/>
      </c>
      <c r="K34" s="43">
        <f>IF(AND(ISNUMBER('Lançamento'!K34),ROUND('Lançamento'!K34,6)&gt;=ROUND('Lançamento'!$H$3,6)),'Lançamento'!K34,0)</f>
        <v/>
      </c>
      <c r="L34" s="43">
        <f>IF(AND(ISNUMBER('Lançamento'!L34),ROUND('Lançamento'!L34,6)&gt;=ROUND('Lançamento'!$H$3,6)),'Lançamento'!L34,0)</f>
        <v/>
      </c>
      <c r="M34" s="43">
        <f>IF(AND(ISNUMBER('Lançamento'!M34),ROUND('Lançamento'!M34,6)&gt;=ROUND('Lançamento'!$H$3,6)),'Lançamento'!M34,0)</f>
        <v/>
      </c>
      <c r="N34" s="43">
        <f>IF(AND(ISNUMBER('Lançamento'!B34),ROUND('Lançamento'!B34,6)&lt;ROUND('Lançamento'!$H$3,6),ROUND('Lançamento'!B34,6)&gt;=ROUND('Lançamento'!$K$3,6)),'Lançamento'!B34,0)</f>
        <v/>
      </c>
      <c r="O34" s="43">
        <f>IF(AND(ISNUMBER('Lançamento'!C34),ROUND('Lançamento'!C34,6)&lt;ROUND('Lançamento'!$H$3,6),ROUND('Lançamento'!C34,6)&gt;=ROUND('Lançamento'!$K$3,6)),'Lançamento'!C34,0)</f>
        <v/>
      </c>
      <c r="P34" s="43">
        <f>IF(AND(ISNUMBER('Lançamento'!D34),ROUND('Lançamento'!D34,6)&lt;ROUND('Lançamento'!$H$3,6),ROUND('Lançamento'!D34,6)&gt;=ROUND('Lançamento'!$K$3,6)),'Lançamento'!D34,0)</f>
        <v/>
      </c>
      <c r="Q34" s="43">
        <f>IF(AND(ISNUMBER('Lançamento'!E34),ROUND('Lançamento'!E34,6)&lt;ROUND('Lançamento'!$H$3,6),ROUND('Lançamento'!E34,6)&gt;=ROUND('Lançamento'!$K$3,6)),'Lançamento'!E34,0)</f>
        <v/>
      </c>
      <c r="R34" s="43">
        <f>IF(AND(ISNUMBER('Lançamento'!F34),ROUND('Lançamento'!F34,6)&lt;ROUND('Lançamento'!$H$3,6),ROUND('Lançamento'!F34,6)&gt;=ROUND('Lançamento'!$K$3,6)),'Lançamento'!F34,0)</f>
        <v/>
      </c>
      <c r="S34" s="43">
        <f>IF(AND(ISNUMBER('Lançamento'!G34),ROUND('Lançamento'!G34,6)&lt;ROUND('Lançamento'!$H$3,6),ROUND('Lançamento'!G34,6)&gt;=ROUND('Lançamento'!$K$3,6)),'Lançamento'!G34,0)</f>
        <v/>
      </c>
      <c r="T34" s="43">
        <f>IF(AND(ISNUMBER('Lançamento'!H34),ROUND('Lançamento'!H34,6)&lt;ROUND('Lançamento'!$H$3,6),ROUND('Lançamento'!H34,6)&gt;=ROUND('Lançamento'!$K$3,6)),'Lançamento'!H34,0)</f>
        <v/>
      </c>
      <c r="U34" s="43">
        <f>IF(AND(ISNUMBER('Lançamento'!I34),ROUND('Lançamento'!I34,6)&lt;ROUND('Lançamento'!$H$3,6),ROUND('Lançamento'!I34,6)&gt;=ROUND('Lançamento'!$K$3,6)),'Lançamento'!I34,0)</f>
        <v/>
      </c>
      <c r="V34" s="43">
        <f>IF(AND(ISNUMBER('Lançamento'!J34),ROUND('Lançamento'!J34,6)&lt;ROUND('Lançamento'!$H$3,6),ROUND('Lançamento'!J34,6)&gt;=ROUND('Lançamento'!$K$3,6)),'Lançamento'!J34,0)</f>
        <v/>
      </c>
      <c r="W34" s="43">
        <f>IF(AND(ISNUMBER('Lançamento'!K34),ROUND('Lançamento'!K34,6)&lt;ROUND('Lançamento'!$H$3,6),ROUND('Lançamento'!K34,6)&gt;=ROUND('Lançamento'!$K$3,6)),'Lançamento'!K34,0)</f>
        <v/>
      </c>
      <c r="X34" s="43">
        <f>IF(AND(ISNUMBER('Lançamento'!L34),ROUND('Lançamento'!L34,6)&lt;ROUND('Lançamento'!$H$3,6),ROUND('Lançamento'!L34,6)&gt;=ROUND('Lançamento'!$K$3,6)),'Lançamento'!L34,0)</f>
        <v/>
      </c>
      <c r="Y34" s="43">
        <f>IF(AND(ISNUMBER('Lançamento'!M34),ROUND('Lançamento'!M34,6)&lt;ROUND('Lançamento'!$H$3,6),ROUND('Lançamento'!M34,6)&gt;=ROUND('Lançamento'!$K$3,6)),'Lançamento'!M34,0)</f>
        <v/>
      </c>
      <c r="Z34" s="43">
        <f>IF(AND(ISNUMBER('Lançamento'!B34),ROUND('Lançamento'!B34,6)&lt;ROUND('Lançamento'!$K$3,6)),'Lançamento'!B34,0)</f>
        <v/>
      </c>
      <c r="AA34" s="43">
        <f>IF(AND(ISNUMBER('Lançamento'!C34),ROUND('Lançamento'!C34,6)&lt;ROUND('Lançamento'!$K$3,6)),'Lançamento'!C34,0)</f>
        <v/>
      </c>
      <c r="AB34" s="43">
        <f>IF(AND(ISNUMBER('Lançamento'!D34),ROUND('Lançamento'!D34,6)&lt;ROUND('Lançamento'!$K$3,6)),'Lançamento'!D34,0)</f>
        <v/>
      </c>
      <c r="AC34" s="43">
        <f>IF(AND(ISNUMBER('Lançamento'!E34),ROUND('Lançamento'!E34,6)&lt;ROUND('Lançamento'!$K$3,6)),'Lançamento'!E34,0)</f>
        <v/>
      </c>
      <c r="AD34" s="43">
        <f>IF(AND(ISNUMBER('Lançamento'!F34),ROUND('Lançamento'!F34,6)&lt;ROUND('Lançamento'!$K$3,6)),'Lançamento'!F34,0)</f>
        <v/>
      </c>
      <c r="AE34" s="43">
        <f>IF(AND(ISNUMBER('Lançamento'!G34),ROUND('Lançamento'!G34,6)&lt;ROUND('Lançamento'!$K$3,6)),'Lançamento'!G34,0)</f>
        <v/>
      </c>
      <c r="AF34" s="43">
        <f>IF(AND(ISNUMBER('Lançamento'!H34),ROUND('Lançamento'!H34,6)&lt;ROUND('Lançamento'!$K$3,6)),'Lançamento'!H34,0)</f>
        <v/>
      </c>
      <c r="AG34" s="43">
        <f>IF(AND(ISNUMBER('Lançamento'!I34),ROUND('Lançamento'!I34,6)&lt;ROUND('Lançamento'!$K$3,6)),'Lançamento'!I34,0)</f>
        <v/>
      </c>
      <c r="AH34" s="43">
        <f>IF(AND(ISNUMBER('Lançamento'!J34),ROUND('Lançamento'!J34,6)&lt;ROUND('Lançamento'!$K$3,6)),'Lançamento'!J34,0)</f>
        <v/>
      </c>
      <c r="AI34" s="43">
        <f>IF(AND(ISNUMBER('Lançamento'!K34),ROUND('Lançamento'!K34,6)&lt;ROUND('Lançamento'!$K$3,6)),'Lançamento'!K34,0)</f>
        <v/>
      </c>
      <c r="AJ34" s="43">
        <f>IF(AND(ISNUMBER('Lançamento'!L34),ROUND('Lançamento'!L34,6)&lt;ROUND('Lançamento'!$K$3,6)),'Lançamento'!L34,0)</f>
        <v/>
      </c>
      <c r="AK34" s="43">
        <f>IF(AND(ISNUMBER('Lançamento'!M34),ROUND('Lançamento'!M34,6)&lt;ROUND('Lançamento'!$K$3,6)),'Lançamento'!M34,0)</f>
        <v/>
      </c>
      <c r="AL34" s="42">
        <f>IF(ISNUMBER('Lançamento'!$N34),'Lançamento'!$N34,0)</f>
        <v/>
      </c>
      <c r="AM34" s="42">
        <f>IF(ISNUMBER('Lançamento'!$N34),'Lançamento'!$N34,0)</f>
        <v/>
      </c>
      <c r="AN34" s="42">
        <f>IF(ISNUMBER('Lançamento'!$N34),'Lançamento'!$N34,0)</f>
        <v/>
      </c>
      <c r="AO34" s="42">
        <f>IF(ISNUMBER('Lançamento'!$N34),'Lançamento'!$N34,0)</f>
        <v/>
      </c>
      <c r="AP34" s="42">
        <f>IF(ISNUMBER('Lançamento'!$N34),'Lançamento'!$N34,0)</f>
        <v/>
      </c>
      <c r="AQ34" s="42">
        <f>IF(ISNUMBER('Lançamento'!$N34),'Lançamento'!$N34,0)</f>
        <v/>
      </c>
      <c r="AR34" s="42">
        <f>IF(ISNUMBER('Lançamento'!$N34),'Lançamento'!$N34,0)</f>
        <v/>
      </c>
      <c r="AS34" s="42">
        <f>IF(ISNUMBER('Lançamento'!$N34),'Lançamento'!$N34,0)</f>
        <v/>
      </c>
      <c r="AT34" s="42">
        <f>IF(ISNUMBER('Lançamento'!$N34),'Lançamento'!$N34,0)</f>
        <v/>
      </c>
      <c r="AU34" s="42">
        <f>IF(ISNUMBER('Lançamento'!$N34),'Lançamento'!$N34,0)</f>
        <v/>
      </c>
      <c r="AV34" s="42">
        <f>IF(ISNUMBER('Lançamento'!$N34),'Lançamento'!$N34,0)</f>
        <v/>
      </c>
      <c r="AW34" s="42">
        <f>IF(ISNUMBER('Lançamento'!$N34),'Lançamento'!$N34,0)</f>
        <v/>
      </c>
      <c r="AX34" s="42">
        <f>NA()</f>
        <v/>
      </c>
      <c r="AY34" s="42">
        <f>NA()</f>
        <v/>
      </c>
      <c r="AZ34" s="42">
        <f>IF(COUNT('Lançamento'!B34:'Lançamento'!D34)=3,AVERAGE('Lançamento'!B34:'Lançamento'!D34),NA())</f>
        <v/>
      </c>
      <c r="BA34" s="42">
        <f>IF(COUNT('Lançamento'!C34:'Lançamento'!E34)=3,AVERAGE('Lançamento'!C34:'Lançamento'!E34),NA())</f>
        <v/>
      </c>
      <c r="BB34" s="42">
        <f>IF(COUNT('Lançamento'!D34:'Lançamento'!F34)=3,AVERAGE('Lançamento'!D34:'Lançamento'!F34),NA())</f>
        <v/>
      </c>
      <c r="BC34" s="42">
        <f>IF(COUNT('Lançamento'!E34:'Lançamento'!G34)=3,AVERAGE('Lançamento'!E34:'Lançamento'!G34),NA())</f>
        <v/>
      </c>
      <c r="BD34" s="42">
        <f>IF(COUNT('Lançamento'!F34:'Lançamento'!H34)=3,AVERAGE('Lançamento'!F34:'Lançamento'!H34),NA())</f>
        <v/>
      </c>
      <c r="BE34" s="42">
        <f>IF(COUNT('Lançamento'!G34:'Lançamento'!I34)=3,AVERAGE('Lançamento'!G34:'Lançamento'!I34),NA())</f>
        <v/>
      </c>
      <c r="BF34" s="42">
        <f>IF(COUNT('Lançamento'!H34:'Lançamento'!J34)=3,AVERAGE('Lançamento'!H34:'Lançamento'!J34),NA())</f>
        <v/>
      </c>
      <c r="BG34" s="42">
        <f>IF(COUNT('Lançamento'!I34:'Lançamento'!K34)=3,AVERAGE('Lançamento'!I34:'Lançamento'!K34),NA())</f>
        <v/>
      </c>
      <c r="BH34" s="42">
        <f>IF(COUNT('Lançamento'!J34:'Lançamento'!L34)=3,AVERAGE('Lançamento'!J34:'Lançamento'!L34),NA())</f>
        <v/>
      </c>
      <c r="BI34" s="42">
        <f>IF(COUNT('Lançamento'!K34:'Lançamento'!M34)=3,AVERAGE('Lançamento'!K34:'Lançamento'!M34),NA())</f>
        <v/>
      </c>
      <c r="BJ34" s="42">
        <f>IF('Lançamento'!A34="","",'Lançamento'!A34&amp;"   |   Média YTD: "&amp;IF('Lançamento'!O34="","-",ROUND('Lançamento'!O34*100,1)&amp;"%"))</f>
        <v/>
      </c>
    </row>
    <row r="35">
      <c r="A35" s="42">
        <f>IF('Lançamento'!A35="","",'Lançamento'!A35)</f>
        <v/>
      </c>
      <c r="B35" s="43">
        <f>IF(AND(ISNUMBER('Lançamento'!B35),ROUND('Lançamento'!B35,6)&gt;=ROUND('Lançamento'!$H$3,6)),'Lançamento'!B35,0)</f>
        <v/>
      </c>
      <c r="C35" s="43">
        <f>IF(AND(ISNUMBER('Lançamento'!C35),ROUND('Lançamento'!C35,6)&gt;=ROUND('Lançamento'!$H$3,6)),'Lançamento'!C35,0)</f>
        <v/>
      </c>
      <c r="D35" s="43">
        <f>IF(AND(ISNUMBER('Lançamento'!D35),ROUND('Lançamento'!D35,6)&gt;=ROUND('Lançamento'!$H$3,6)),'Lançamento'!D35,0)</f>
        <v/>
      </c>
      <c r="E35" s="43">
        <f>IF(AND(ISNUMBER('Lançamento'!E35),ROUND('Lançamento'!E35,6)&gt;=ROUND('Lançamento'!$H$3,6)),'Lançamento'!E35,0)</f>
        <v/>
      </c>
      <c r="F35" s="43">
        <f>IF(AND(ISNUMBER('Lançamento'!F35),ROUND('Lançamento'!F35,6)&gt;=ROUND('Lançamento'!$H$3,6)),'Lançamento'!F35,0)</f>
        <v/>
      </c>
      <c r="G35" s="43">
        <f>IF(AND(ISNUMBER('Lançamento'!G35),ROUND('Lançamento'!G35,6)&gt;=ROUND('Lançamento'!$H$3,6)),'Lançamento'!G35,0)</f>
        <v/>
      </c>
      <c r="H35" s="43">
        <f>IF(AND(ISNUMBER('Lançamento'!H35),ROUND('Lançamento'!H35,6)&gt;=ROUND('Lançamento'!$H$3,6)),'Lançamento'!H35,0)</f>
        <v/>
      </c>
      <c r="I35" s="43">
        <f>IF(AND(ISNUMBER('Lançamento'!I35),ROUND('Lançamento'!I35,6)&gt;=ROUND('Lançamento'!$H$3,6)),'Lançamento'!I35,0)</f>
        <v/>
      </c>
      <c r="J35" s="43">
        <f>IF(AND(ISNUMBER('Lançamento'!J35),ROUND('Lançamento'!J35,6)&gt;=ROUND('Lançamento'!$H$3,6)),'Lançamento'!J35,0)</f>
        <v/>
      </c>
      <c r="K35" s="43">
        <f>IF(AND(ISNUMBER('Lançamento'!K35),ROUND('Lançamento'!K35,6)&gt;=ROUND('Lançamento'!$H$3,6)),'Lançamento'!K35,0)</f>
        <v/>
      </c>
      <c r="L35" s="43">
        <f>IF(AND(ISNUMBER('Lançamento'!L35),ROUND('Lançamento'!L35,6)&gt;=ROUND('Lançamento'!$H$3,6)),'Lançamento'!L35,0)</f>
        <v/>
      </c>
      <c r="M35" s="43">
        <f>IF(AND(ISNUMBER('Lançamento'!M35),ROUND('Lançamento'!M35,6)&gt;=ROUND('Lançamento'!$H$3,6)),'Lançamento'!M35,0)</f>
        <v/>
      </c>
      <c r="N35" s="43">
        <f>IF(AND(ISNUMBER('Lançamento'!B35),ROUND('Lançamento'!B35,6)&lt;ROUND('Lançamento'!$H$3,6),ROUND('Lançamento'!B35,6)&gt;=ROUND('Lançamento'!$K$3,6)),'Lançamento'!B35,0)</f>
        <v/>
      </c>
      <c r="O35" s="43">
        <f>IF(AND(ISNUMBER('Lançamento'!C35),ROUND('Lançamento'!C35,6)&lt;ROUND('Lançamento'!$H$3,6),ROUND('Lançamento'!C35,6)&gt;=ROUND('Lançamento'!$K$3,6)),'Lançamento'!C35,0)</f>
        <v/>
      </c>
      <c r="P35" s="43">
        <f>IF(AND(ISNUMBER('Lançamento'!D35),ROUND('Lançamento'!D35,6)&lt;ROUND('Lançamento'!$H$3,6),ROUND('Lançamento'!D35,6)&gt;=ROUND('Lançamento'!$K$3,6)),'Lançamento'!D35,0)</f>
        <v/>
      </c>
      <c r="Q35" s="43">
        <f>IF(AND(ISNUMBER('Lançamento'!E35),ROUND('Lançamento'!E35,6)&lt;ROUND('Lançamento'!$H$3,6),ROUND('Lançamento'!E35,6)&gt;=ROUND('Lançamento'!$K$3,6)),'Lançamento'!E35,0)</f>
        <v/>
      </c>
      <c r="R35" s="43">
        <f>IF(AND(ISNUMBER('Lançamento'!F35),ROUND('Lançamento'!F35,6)&lt;ROUND('Lançamento'!$H$3,6),ROUND('Lançamento'!F35,6)&gt;=ROUND('Lançamento'!$K$3,6)),'Lançamento'!F35,0)</f>
        <v/>
      </c>
      <c r="S35" s="43">
        <f>IF(AND(ISNUMBER('Lançamento'!G35),ROUND('Lançamento'!G35,6)&lt;ROUND('Lançamento'!$H$3,6),ROUND('Lançamento'!G35,6)&gt;=ROUND('Lançamento'!$K$3,6)),'Lançamento'!G35,0)</f>
        <v/>
      </c>
      <c r="T35" s="43">
        <f>IF(AND(ISNUMBER('Lançamento'!H35),ROUND('Lançamento'!H35,6)&lt;ROUND('Lançamento'!$H$3,6),ROUND('Lançamento'!H35,6)&gt;=ROUND('Lançamento'!$K$3,6)),'Lançamento'!H35,0)</f>
        <v/>
      </c>
      <c r="U35" s="43">
        <f>IF(AND(ISNUMBER('Lançamento'!I35),ROUND('Lançamento'!I35,6)&lt;ROUND('Lançamento'!$H$3,6),ROUND('Lançamento'!I35,6)&gt;=ROUND('Lançamento'!$K$3,6)),'Lançamento'!I35,0)</f>
        <v/>
      </c>
      <c r="V35" s="43">
        <f>IF(AND(ISNUMBER('Lançamento'!J35),ROUND('Lançamento'!J35,6)&lt;ROUND('Lançamento'!$H$3,6),ROUND('Lançamento'!J35,6)&gt;=ROUND('Lançamento'!$K$3,6)),'Lançamento'!J35,0)</f>
        <v/>
      </c>
      <c r="W35" s="43">
        <f>IF(AND(ISNUMBER('Lançamento'!K35),ROUND('Lançamento'!K35,6)&lt;ROUND('Lançamento'!$H$3,6),ROUND('Lançamento'!K35,6)&gt;=ROUND('Lançamento'!$K$3,6)),'Lançamento'!K35,0)</f>
        <v/>
      </c>
      <c r="X35" s="43">
        <f>IF(AND(ISNUMBER('Lançamento'!L35),ROUND('Lançamento'!L35,6)&lt;ROUND('Lançamento'!$H$3,6),ROUND('Lançamento'!L35,6)&gt;=ROUND('Lançamento'!$K$3,6)),'Lançamento'!L35,0)</f>
        <v/>
      </c>
      <c r="Y35" s="43">
        <f>IF(AND(ISNUMBER('Lançamento'!M35),ROUND('Lançamento'!M35,6)&lt;ROUND('Lançamento'!$H$3,6),ROUND('Lançamento'!M35,6)&gt;=ROUND('Lançamento'!$K$3,6)),'Lançamento'!M35,0)</f>
        <v/>
      </c>
      <c r="Z35" s="43">
        <f>IF(AND(ISNUMBER('Lançamento'!B35),ROUND('Lançamento'!B35,6)&lt;ROUND('Lançamento'!$K$3,6)),'Lançamento'!B35,0)</f>
        <v/>
      </c>
      <c r="AA35" s="43">
        <f>IF(AND(ISNUMBER('Lançamento'!C35),ROUND('Lançamento'!C35,6)&lt;ROUND('Lançamento'!$K$3,6)),'Lançamento'!C35,0)</f>
        <v/>
      </c>
      <c r="AB35" s="43">
        <f>IF(AND(ISNUMBER('Lançamento'!D35),ROUND('Lançamento'!D35,6)&lt;ROUND('Lançamento'!$K$3,6)),'Lançamento'!D35,0)</f>
        <v/>
      </c>
      <c r="AC35" s="43">
        <f>IF(AND(ISNUMBER('Lançamento'!E35),ROUND('Lançamento'!E35,6)&lt;ROUND('Lançamento'!$K$3,6)),'Lançamento'!E35,0)</f>
        <v/>
      </c>
      <c r="AD35" s="43">
        <f>IF(AND(ISNUMBER('Lançamento'!F35),ROUND('Lançamento'!F35,6)&lt;ROUND('Lançamento'!$K$3,6)),'Lançamento'!F35,0)</f>
        <v/>
      </c>
      <c r="AE35" s="43">
        <f>IF(AND(ISNUMBER('Lançamento'!G35),ROUND('Lançamento'!G35,6)&lt;ROUND('Lançamento'!$K$3,6)),'Lançamento'!G35,0)</f>
        <v/>
      </c>
      <c r="AF35" s="43">
        <f>IF(AND(ISNUMBER('Lançamento'!H35),ROUND('Lançamento'!H35,6)&lt;ROUND('Lançamento'!$K$3,6)),'Lançamento'!H35,0)</f>
        <v/>
      </c>
      <c r="AG35" s="43">
        <f>IF(AND(ISNUMBER('Lançamento'!I35),ROUND('Lançamento'!I35,6)&lt;ROUND('Lançamento'!$K$3,6)),'Lançamento'!I35,0)</f>
        <v/>
      </c>
      <c r="AH35" s="43">
        <f>IF(AND(ISNUMBER('Lançamento'!J35),ROUND('Lançamento'!J35,6)&lt;ROUND('Lançamento'!$K$3,6)),'Lançamento'!J35,0)</f>
        <v/>
      </c>
      <c r="AI35" s="43">
        <f>IF(AND(ISNUMBER('Lançamento'!K35),ROUND('Lançamento'!K35,6)&lt;ROUND('Lançamento'!$K$3,6)),'Lançamento'!K35,0)</f>
        <v/>
      </c>
      <c r="AJ35" s="43">
        <f>IF(AND(ISNUMBER('Lançamento'!L35),ROUND('Lançamento'!L35,6)&lt;ROUND('Lançamento'!$K$3,6)),'Lançamento'!L35,0)</f>
        <v/>
      </c>
      <c r="AK35" s="43">
        <f>IF(AND(ISNUMBER('Lançamento'!M35),ROUND('Lançamento'!M35,6)&lt;ROUND('Lançamento'!$K$3,6)),'Lançamento'!M35,0)</f>
        <v/>
      </c>
      <c r="AL35" s="42">
        <f>IF(ISNUMBER('Lançamento'!$N35),'Lançamento'!$N35,0)</f>
        <v/>
      </c>
      <c r="AM35" s="42">
        <f>IF(ISNUMBER('Lançamento'!$N35),'Lançamento'!$N35,0)</f>
        <v/>
      </c>
      <c r="AN35" s="42">
        <f>IF(ISNUMBER('Lançamento'!$N35),'Lançamento'!$N35,0)</f>
        <v/>
      </c>
      <c r="AO35" s="42">
        <f>IF(ISNUMBER('Lançamento'!$N35),'Lançamento'!$N35,0)</f>
        <v/>
      </c>
      <c r="AP35" s="42">
        <f>IF(ISNUMBER('Lançamento'!$N35),'Lançamento'!$N35,0)</f>
        <v/>
      </c>
      <c r="AQ35" s="42">
        <f>IF(ISNUMBER('Lançamento'!$N35),'Lançamento'!$N35,0)</f>
        <v/>
      </c>
      <c r="AR35" s="42">
        <f>IF(ISNUMBER('Lançamento'!$N35),'Lançamento'!$N35,0)</f>
        <v/>
      </c>
      <c r="AS35" s="42">
        <f>IF(ISNUMBER('Lançamento'!$N35),'Lançamento'!$N35,0)</f>
        <v/>
      </c>
      <c r="AT35" s="42">
        <f>IF(ISNUMBER('Lançamento'!$N35),'Lançamento'!$N35,0)</f>
        <v/>
      </c>
      <c r="AU35" s="42">
        <f>IF(ISNUMBER('Lançamento'!$N35),'Lançamento'!$N35,0)</f>
        <v/>
      </c>
      <c r="AV35" s="42">
        <f>IF(ISNUMBER('Lançamento'!$N35),'Lançamento'!$N35,0)</f>
        <v/>
      </c>
      <c r="AW35" s="42">
        <f>IF(ISNUMBER('Lançamento'!$N35),'Lançamento'!$N35,0)</f>
        <v/>
      </c>
      <c r="AX35" s="42">
        <f>NA()</f>
        <v/>
      </c>
      <c r="AY35" s="42">
        <f>NA()</f>
        <v/>
      </c>
      <c r="AZ35" s="42">
        <f>IF(COUNT('Lançamento'!B35:'Lançamento'!D35)=3,AVERAGE('Lançamento'!B35:'Lançamento'!D35),NA())</f>
        <v/>
      </c>
      <c r="BA35" s="42">
        <f>IF(COUNT('Lançamento'!C35:'Lançamento'!E35)=3,AVERAGE('Lançamento'!C35:'Lançamento'!E35),NA())</f>
        <v/>
      </c>
      <c r="BB35" s="42">
        <f>IF(COUNT('Lançamento'!D35:'Lançamento'!F35)=3,AVERAGE('Lançamento'!D35:'Lançamento'!F35),NA())</f>
        <v/>
      </c>
      <c r="BC35" s="42">
        <f>IF(COUNT('Lançamento'!E35:'Lançamento'!G35)=3,AVERAGE('Lançamento'!E35:'Lançamento'!G35),NA())</f>
        <v/>
      </c>
      <c r="BD35" s="42">
        <f>IF(COUNT('Lançamento'!F35:'Lançamento'!H35)=3,AVERAGE('Lançamento'!F35:'Lançamento'!H35),NA())</f>
        <v/>
      </c>
      <c r="BE35" s="42">
        <f>IF(COUNT('Lançamento'!G35:'Lançamento'!I35)=3,AVERAGE('Lançamento'!G35:'Lançamento'!I35),NA())</f>
        <v/>
      </c>
      <c r="BF35" s="42">
        <f>IF(COUNT('Lançamento'!H35:'Lançamento'!J35)=3,AVERAGE('Lançamento'!H35:'Lançamento'!J35),NA())</f>
        <v/>
      </c>
      <c r="BG35" s="42">
        <f>IF(COUNT('Lançamento'!I35:'Lançamento'!K35)=3,AVERAGE('Lançamento'!I35:'Lançamento'!K35),NA())</f>
        <v/>
      </c>
      <c r="BH35" s="42">
        <f>IF(COUNT('Lançamento'!J35:'Lançamento'!L35)=3,AVERAGE('Lançamento'!J35:'Lançamento'!L35),NA())</f>
        <v/>
      </c>
      <c r="BI35" s="42">
        <f>IF(COUNT('Lançamento'!K35:'Lançamento'!M35)=3,AVERAGE('Lançamento'!K35:'Lançamento'!M35),NA())</f>
        <v/>
      </c>
      <c r="BJ35" s="42">
        <f>IF('Lançamento'!A35="","",'Lançamento'!A35&amp;"   |   Média YTD: "&amp;IF('Lançamento'!O35="","-",ROUND('Lançamento'!O35*100,1)&amp;"%"))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2026-10-14T23:38:24Z</dcterms:created>
  <dcterms:modified xmlns:dcterms="http://purl.org/dc/terms/" xmlns:xsi="http://www.w3.org/2001/XMLSchema-instance" xsi:type="dcterms:W3CDTF">2026-10-14T23:38:25Z</dcterms:modified>
</cp:coreProperties>
</file>